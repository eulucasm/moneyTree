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eiro" sheetId="1" r:id="rId5"/>
    <sheet state="hidden" name="Fevereiro" sheetId="2" r:id="rId6"/>
    <sheet state="hidden" name="Março" sheetId="3" r:id="rId7"/>
    <sheet state="hidden" name="Abril" sheetId="4" r:id="rId8"/>
    <sheet state="hidden" name="Maio" sheetId="5" r:id="rId9"/>
    <sheet state="hidden" name="Junho" sheetId="6" r:id="rId10"/>
    <sheet state="hidden" name="Julho" sheetId="7" r:id="rId11"/>
    <sheet state="hidden" name="Agosto" sheetId="8" r:id="rId12"/>
    <sheet state="hidden" name="Setembro" sheetId="9" r:id="rId13"/>
    <sheet state="hidden" name="Outubro" sheetId="10" r:id="rId14"/>
    <sheet state="hidden" name="Novembro" sheetId="11" r:id="rId15"/>
    <sheet state="hidden" name="Dezembro" sheetId="12" r:id="rId16"/>
    <sheet state="hidden" name="Janeiro26" sheetId="13" r:id="rId17"/>
    <sheet state="hidden" name="Fevereiro26" sheetId="14" r:id="rId18"/>
    <sheet state="hidden" name="Março26" sheetId="15" r:id="rId19"/>
    <sheet state="hidden" name="Abril26" sheetId="16" r:id="rId20"/>
    <sheet state="hidden" name="Maio26" sheetId="17" r:id="rId21"/>
    <sheet state="hidden" name="Junho26" sheetId="18" r:id="rId22"/>
    <sheet state="visible" name="Julho26" sheetId="19" r:id="rId23"/>
    <sheet state="visible" name="Agosto26" sheetId="20" r:id="rId24"/>
    <sheet state="visible" name="Setembro26" sheetId="21" r:id="rId25"/>
    <sheet state="visible" name="Outubro26" sheetId="22" r:id="rId26"/>
    <sheet state="visible" name="Novembro26" sheetId="23" r:id="rId27"/>
    <sheet state="visible" name="Dezembro26" sheetId="24" r:id="rId28"/>
    <sheet state="visible" name="Janeiro27" sheetId="25" r:id="rId29"/>
    <sheet state="visible" name="Fevereiro27" sheetId="26" r:id="rId30"/>
    <sheet state="visible" name="Março27" sheetId="27" r:id="rId31"/>
    <sheet state="visible" name="Abril27" sheetId="28" r:id="rId32"/>
    <sheet state="visible" name="Maio27" sheetId="29" r:id="rId33"/>
  </sheets>
  <definedNames/>
  <calcPr/>
</workbook>
</file>

<file path=xl/sharedStrings.xml><?xml version="1.0" encoding="utf-8"?>
<sst xmlns="http://schemas.openxmlformats.org/spreadsheetml/2006/main" count="2154" uniqueCount="324">
  <si>
    <t>Contas - saidas</t>
  </si>
  <si>
    <t>Entradas</t>
  </si>
  <si>
    <t>Cartão</t>
  </si>
  <si>
    <t>Janeiro</t>
  </si>
  <si>
    <t>Status</t>
  </si>
  <si>
    <t>Totais mensal</t>
  </si>
  <si>
    <t>claro</t>
  </si>
  <si>
    <t>ok</t>
  </si>
  <si>
    <t>salario</t>
  </si>
  <si>
    <t>saidas</t>
  </si>
  <si>
    <t>previsão de sobra</t>
  </si>
  <si>
    <t>desktop</t>
  </si>
  <si>
    <t>vale</t>
  </si>
  <si>
    <t>maisa</t>
  </si>
  <si>
    <t>juros obra</t>
  </si>
  <si>
    <t>aP</t>
  </si>
  <si>
    <t>Sobrou do mes passado</t>
  </si>
  <si>
    <t>cartao nu</t>
  </si>
  <si>
    <t>cartao mercado pago</t>
  </si>
  <si>
    <t>Colocado na poupança</t>
  </si>
  <si>
    <t>celular vó</t>
  </si>
  <si>
    <t>total</t>
  </si>
  <si>
    <t>Compras Recorrentes</t>
  </si>
  <si>
    <t>todo mes é isso</t>
  </si>
  <si>
    <t>amazon</t>
  </si>
  <si>
    <t>spotfy</t>
  </si>
  <si>
    <t>mercado livre</t>
  </si>
  <si>
    <t>apple</t>
  </si>
  <si>
    <t>Total</t>
  </si>
  <si>
    <t>Cartão nu - Demonstrativo de parcelamentos</t>
  </si>
  <si>
    <t>Fevereiro</t>
  </si>
  <si>
    <t>Salario</t>
  </si>
  <si>
    <t>Vale</t>
  </si>
  <si>
    <t>Total Poupança</t>
  </si>
  <si>
    <t>reforma muro</t>
  </si>
  <si>
    <t>Poupança do mes anterior</t>
  </si>
  <si>
    <t>Cartão MP - parcelamentos</t>
  </si>
  <si>
    <t>Cartão Caixa - parcelamentos</t>
  </si>
  <si>
    <t>Ml 3/4</t>
  </si>
  <si>
    <t xml:space="preserve">ml </t>
  </si>
  <si>
    <t>PLR</t>
  </si>
  <si>
    <t>decathlon 3/5</t>
  </si>
  <si>
    <t>amazon 3/7</t>
  </si>
  <si>
    <t>cartao caixa</t>
  </si>
  <si>
    <t>ml 4/10</t>
  </si>
  <si>
    <t>cartao MP</t>
  </si>
  <si>
    <t>netshoes 4/10</t>
  </si>
  <si>
    <t>adidas 3/6</t>
  </si>
  <si>
    <t>cea</t>
  </si>
  <si>
    <t>decathlon</t>
  </si>
  <si>
    <t>boticario</t>
  </si>
  <si>
    <t>aliexprees 2/4</t>
  </si>
  <si>
    <t>erica arquiteta 2/3</t>
  </si>
  <si>
    <t>dokadosh</t>
  </si>
  <si>
    <t>amazon 4/7</t>
  </si>
  <si>
    <t>Mp Relogio 1/10</t>
  </si>
  <si>
    <t>memoria 2/3</t>
  </si>
  <si>
    <t>ML game 2/10</t>
  </si>
  <si>
    <t>memoria 2/4</t>
  </si>
  <si>
    <t>tenis 2/5</t>
  </si>
  <si>
    <t>ml relogio 1/10</t>
  </si>
  <si>
    <t>tv Vó 2/10</t>
  </si>
  <si>
    <t>anuidade</t>
  </si>
  <si>
    <t>relogio</t>
  </si>
  <si>
    <t>ML PANELAS 1/8</t>
  </si>
  <si>
    <t>ml 2/3</t>
  </si>
  <si>
    <t>adidas 5/6</t>
  </si>
  <si>
    <t>ml 2/2</t>
  </si>
  <si>
    <t>Ap Intermediaria</t>
  </si>
  <si>
    <t>bateria carro</t>
  </si>
  <si>
    <t>ml 6/10</t>
  </si>
  <si>
    <t>tenis 2/2</t>
  </si>
  <si>
    <t xml:space="preserve">cartao bradesco </t>
  </si>
  <si>
    <t>puma 3/3</t>
  </si>
  <si>
    <t>aliexpreess 4/4</t>
  </si>
  <si>
    <t>decathon 5/5</t>
  </si>
  <si>
    <t>prime anual 2/12</t>
  </si>
  <si>
    <t>amazon 5/7</t>
  </si>
  <si>
    <t>amazon 6/7</t>
  </si>
  <si>
    <t>netshoes 6/10</t>
  </si>
  <si>
    <t>ml</t>
  </si>
  <si>
    <t>Mp Relogio 3/10</t>
  </si>
  <si>
    <t>memoria 4/4</t>
  </si>
  <si>
    <t>Gympass</t>
  </si>
  <si>
    <t>ML game 4/10</t>
  </si>
  <si>
    <t>ml relogio 2/10</t>
  </si>
  <si>
    <t>tenis 4/5</t>
  </si>
  <si>
    <t>tv Vó 4/10</t>
  </si>
  <si>
    <t>meliMais</t>
  </si>
  <si>
    <t>compra</t>
  </si>
  <si>
    <t xml:space="preserve">Ml </t>
  </si>
  <si>
    <t>decathlon 4/5</t>
  </si>
  <si>
    <t>ml 5/10</t>
  </si>
  <si>
    <t>netshoes 5/10</t>
  </si>
  <si>
    <t>adidas 4/6</t>
  </si>
  <si>
    <t>aliexprees 3/4</t>
  </si>
  <si>
    <t xml:space="preserve">erica arquiteta </t>
  </si>
  <si>
    <t>memoria 3/3</t>
  </si>
  <si>
    <t>ML game 3/10</t>
  </si>
  <si>
    <t>memoria 3/4</t>
  </si>
  <si>
    <t>tenis 3/5</t>
  </si>
  <si>
    <t>tv Vó 3/10</t>
  </si>
  <si>
    <t>compras aleatorias</t>
  </si>
  <si>
    <t>julho</t>
  </si>
  <si>
    <t>tipo</t>
  </si>
  <si>
    <t>valor</t>
  </si>
  <si>
    <t>pizza barbara</t>
  </si>
  <si>
    <t>decimo terceiro</t>
  </si>
  <si>
    <t>Julho</t>
  </si>
  <si>
    <t>Compras parceladas</t>
  </si>
  <si>
    <t>Agosto</t>
  </si>
  <si>
    <t>Compra</t>
  </si>
  <si>
    <t>Parcelas</t>
  </si>
  <si>
    <t>Instituição</t>
  </si>
  <si>
    <t>Tv Casas Bahia</t>
  </si>
  <si>
    <t>07-10</t>
  </si>
  <si>
    <t>ML</t>
  </si>
  <si>
    <t>ferias</t>
  </si>
  <si>
    <t>Retroid</t>
  </si>
  <si>
    <t>Relogio</t>
  </si>
  <si>
    <t>06-10</t>
  </si>
  <si>
    <t>Mouse</t>
  </si>
  <si>
    <t>01-10</t>
  </si>
  <si>
    <t>mercado pago</t>
  </si>
  <si>
    <t>Tinta Ap</t>
  </si>
  <si>
    <t>01-04</t>
  </si>
  <si>
    <t>Loja</t>
  </si>
  <si>
    <t>bradesco</t>
  </si>
  <si>
    <t>Material Ap</t>
  </si>
  <si>
    <t>Condominio</t>
  </si>
  <si>
    <t>Cartão nu 2</t>
  </si>
  <si>
    <t>pedreiro</t>
  </si>
  <si>
    <t>Ok</t>
  </si>
  <si>
    <t>claro proporcinal</t>
  </si>
  <si>
    <t>Meli Plus</t>
  </si>
  <si>
    <t>Amazon anuncios</t>
  </si>
  <si>
    <t>paramount</t>
  </si>
  <si>
    <t>WellHub</t>
  </si>
  <si>
    <t>Apple</t>
  </si>
  <si>
    <t>Setembro</t>
  </si>
  <si>
    <t>02-10</t>
  </si>
  <si>
    <t>NU</t>
  </si>
  <si>
    <t>NKR TINTAS</t>
  </si>
  <si>
    <t>02-04</t>
  </si>
  <si>
    <t>Sacada</t>
  </si>
  <si>
    <t>-</t>
  </si>
  <si>
    <t>Bradesco</t>
  </si>
  <si>
    <t>08-10</t>
  </si>
  <si>
    <t>CPFL</t>
  </si>
  <si>
    <t>marmore</t>
  </si>
  <si>
    <t>furadeira</t>
  </si>
  <si>
    <t>torneira</t>
  </si>
  <si>
    <t>kit banheiro</t>
  </si>
  <si>
    <t>Luzes</t>
  </si>
  <si>
    <t>ap</t>
  </si>
  <si>
    <t>Luz cozinha</t>
  </si>
  <si>
    <t>01-05</t>
  </si>
  <si>
    <t>ferramentas</t>
  </si>
  <si>
    <t>luz sala</t>
  </si>
  <si>
    <t>coisas AP</t>
  </si>
  <si>
    <t>Outubro</t>
  </si>
  <si>
    <t>OK</t>
  </si>
  <si>
    <t>03-10</t>
  </si>
  <si>
    <t>Entrada game</t>
  </si>
  <si>
    <t>03-04</t>
  </si>
  <si>
    <t>09-10</t>
  </si>
  <si>
    <t>02-08</t>
  </si>
  <si>
    <t>Argamassa</t>
  </si>
  <si>
    <t>02-03</t>
  </si>
  <si>
    <t>02-07</t>
  </si>
  <si>
    <t>02-05</t>
  </si>
  <si>
    <t>Novembro</t>
  </si>
  <si>
    <t>04-10</t>
  </si>
  <si>
    <t>04-04</t>
  </si>
  <si>
    <t>10-10</t>
  </si>
  <si>
    <t>Pedreiro</t>
  </si>
  <si>
    <t>03-08</t>
  </si>
  <si>
    <t>03-03</t>
  </si>
  <si>
    <t>03-07</t>
  </si>
  <si>
    <t>03-05</t>
  </si>
  <si>
    <t>decathon</t>
  </si>
  <si>
    <t>04-05</t>
  </si>
  <si>
    <t>Dezembro</t>
  </si>
  <si>
    <t>05-10</t>
  </si>
  <si>
    <t>decimo</t>
  </si>
  <si>
    <t>04-08</t>
  </si>
  <si>
    <t>04-07</t>
  </si>
  <si>
    <t>emprestimo</t>
  </si>
  <si>
    <t>figurino</t>
  </si>
  <si>
    <t>05-05</t>
  </si>
  <si>
    <t>2PRO</t>
  </si>
  <si>
    <t>Privada</t>
  </si>
  <si>
    <t>Infra AR</t>
  </si>
  <si>
    <t>Roupa Italiana</t>
  </si>
  <si>
    <t/>
  </si>
  <si>
    <t>celular joao</t>
  </si>
  <si>
    <t>02-12</t>
  </si>
  <si>
    <t>panela mae</t>
  </si>
  <si>
    <t>acabamentos AP</t>
  </si>
  <si>
    <t>pisos</t>
  </si>
  <si>
    <t>Roupa italiana</t>
  </si>
  <si>
    <t>05-08</t>
  </si>
  <si>
    <t>05-07</t>
  </si>
  <si>
    <t>nao sei</t>
  </si>
  <si>
    <t>02-06</t>
  </si>
  <si>
    <t>Pisos</t>
  </si>
  <si>
    <t>02-02</t>
  </si>
  <si>
    <t>camisa palmeiras</t>
  </si>
  <si>
    <t>?</t>
  </si>
  <si>
    <t>dafiti</t>
  </si>
  <si>
    <t>03-12</t>
  </si>
  <si>
    <t>centauro</t>
  </si>
  <si>
    <t>PSN</t>
  </si>
  <si>
    <t>Steam</t>
  </si>
  <si>
    <t>06-08</t>
  </si>
  <si>
    <t>06-07</t>
  </si>
  <si>
    <t>privada</t>
  </si>
  <si>
    <t>Horto pisos</t>
  </si>
  <si>
    <t>ssd note</t>
  </si>
  <si>
    <t>03-06</t>
  </si>
  <si>
    <t>Controle pc</t>
  </si>
  <si>
    <t>roçadeira</t>
  </si>
  <si>
    <t>WYD</t>
  </si>
  <si>
    <t>01-03</t>
  </si>
  <si>
    <t>Março</t>
  </si>
  <si>
    <t>dafiti(presente B)</t>
  </si>
  <si>
    <t>04-12</t>
  </si>
  <si>
    <t>07-08</t>
  </si>
  <si>
    <t>iptu</t>
  </si>
  <si>
    <t>07-07</t>
  </si>
  <si>
    <t>04-06</t>
  </si>
  <si>
    <t>cartao nu(atrasado)</t>
  </si>
  <si>
    <t>05-12</t>
  </si>
  <si>
    <t xml:space="preserve"> </t>
  </si>
  <si>
    <t>08-08</t>
  </si>
  <si>
    <t>05-06</t>
  </si>
  <si>
    <t>Prime</t>
  </si>
  <si>
    <t>02/10</t>
  </si>
  <si>
    <t>drogal</t>
  </si>
  <si>
    <t>03/03</t>
  </si>
  <si>
    <t>Hortopisos</t>
  </si>
  <si>
    <t>10/10</t>
  </si>
  <si>
    <t>6/12</t>
  </si>
  <si>
    <t>Growth</t>
  </si>
  <si>
    <t>03/04</t>
  </si>
  <si>
    <t>Play</t>
  </si>
  <si>
    <t>02/02</t>
  </si>
  <si>
    <t>parcelamento fatura</t>
  </si>
  <si>
    <t>01/03</t>
  </si>
  <si>
    <t>pedras</t>
  </si>
  <si>
    <t>Infra Ar</t>
  </si>
  <si>
    <t>09/10</t>
  </si>
  <si>
    <t>emprestimo final</t>
  </si>
  <si>
    <t>gesso</t>
  </si>
  <si>
    <t>04/05</t>
  </si>
  <si>
    <t>Prime sem anuncios</t>
  </si>
  <si>
    <t>x</t>
  </si>
  <si>
    <t>03/10</t>
  </si>
  <si>
    <t>04/04</t>
  </si>
  <si>
    <t>07/12</t>
  </si>
  <si>
    <t>Parcelamento</t>
  </si>
  <si>
    <t>02/03</t>
  </si>
  <si>
    <t>note</t>
  </si>
  <si>
    <t>infra Ar</t>
  </si>
  <si>
    <t>08/10</t>
  </si>
  <si>
    <t>07/08</t>
  </si>
  <si>
    <t>06/08</t>
  </si>
  <si>
    <t>06/07</t>
  </si>
  <si>
    <t>Puma</t>
  </si>
  <si>
    <t>trans</t>
  </si>
  <si>
    <t>Riot</t>
  </si>
  <si>
    <t>02/06</t>
  </si>
  <si>
    <t>Decimo parcela 1</t>
  </si>
  <si>
    <t>05/05</t>
  </si>
  <si>
    <t>carro</t>
  </si>
  <si>
    <t>celular</t>
  </si>
  <si>
    <t>02/21</t>
  </si>
  <si>
    <t>08/12</t>
  </si>
  <si>
    <t>04/10</t>
  </si>
  <si>
    <t>Dompas</t>
  </si>
  <si>
    <t>limite caixa</t>
  </si>
  <si>
    <t>DrogaSil</t>
  </si>
  <si>
    <t>08/18</t>
  </si>
  <si>
    <t>capinha</t>
  </si>
  <si>
    <t>02/04</t>
  </si>
  <si>
    <t>torneiras</t>
  </si>
  <si>
    <t>03/06</t>
  </si>
  <si>
    <t xml:space="preserve">cubas </t>
  </si>
  <si>
    <t>caneta</t>
  </si>
  <si>
    <t>08/08</t>
  </si>
  <si>
    <t>Google</t>
  </si>
  <si>
    <t>03/21</t>
  </si>
  <si>
    <t>09/12</t>
  </si>
  <si>
    <t>05/10</t>
  </si>
  <si>
    <t>09/18</t>
  </si>
  <si>
    <t>04/06</t>
  </si>
  <si>
    <t>04/21</t>
  </si>
  <si>
    <t>10/12</t>
  </si>
  <si>
    <t>06/10</t>
  </si>
  <si>
    <t>10/18</t>
  </si>
  <si>
    <t>05/06</t>
  </si>
  <si>
    <t>06/06</t>
  </si>
  <si>
    <t>05/21</t>
  </si>
  <si>
    <t>11/12</t>
  </si>
  <si>
    <t>07/10</t>
  </si>
  <si>
    <t>11/18</t>
  </si>
  <si>
    <t>06/21</t>
  </si>
  <si>
    <t>12/12</t>
  </si>
  <si>
    <t>12/18</t>
  </si>
  <si>
    <t>07/21</t>
  </si>
  <si>
    <t>13/18</t>
  </si>
  <si>
    <t>08/21</t>
  </si>
  <si>
    <t>14/18</t>
  </si>
  <si>
    <t>09/21</t>
  </si>
  <si>
    <t>15/18</t>
  </si>
  <si>
    <t>16/18</t>
  </si>
  <si>
    <t>10/21</t>
  </si>
  <si>
    <t>Cartao Nu</t>
  </si>
  <si>
    <t>Cartao Bradesco</t>
  </si>
  <si>
    <t>Cartao ML</t>
  </si>
  <si>
    <t>17/18</t>
  </si>
  <si>
    <t>11/21</t>
  </si>
  <si>
    <t>18/18</t>
  </si>
  <si>
    <t>12/21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</si>
</sst>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/m"/>
    <numFmt numFmtId="166" formatCode="dd-mm"/>
  </numFmts>
  <fonts count="6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</font>
    <font>
      <color theme="1"/>
      <name val="Robo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6" fillId="4" fontId="1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4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left" readingOrder="0" vertical="bottom"/>
    </xf>
    <xf borderId="4" fillId="0" fontId="3" numFmtId="0" xfId="0" applyAlignment="1" applyBorder="1" applyFont="1">
      <alignment horizontal="right" readingOrder="0" vertical="bottom"/>
    </xf>
    <xf borderId="4" fillId="0" fontId="3" numFmtId="0" xfId="0" applyAlignment="1" applyBorder="1" applyFont="1">
      <alignment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9" fillId="3" fontId="3" numFmtId="0" xfId="0" applyAlignment="1" applyBorder="1" applyFont="1">
      <alignment readingOrder="0" vertical="bottom"/>
    </xf>
    <xf borderId="9" fillId="3" fontId="3" numFmtId="164" xfId="0" applyAlignment="1" applyBorder="1" applyFont="1" applyNumberFormat="1">
      <alignment horizontal="right" readingOrder="0" vertical="bottom"/>
    </xf>
    <xf borderId="3" fillId="4" fontId="1" numFmtId="0" xfId="0" applyAlignment="1" applyBorder="1" applyFont="1">
      <alignment horizontal="center" vertical="bottom"/>
    </xf>
    <xf borderId="8" fillId="5" fontId="3" numFmtId="0" xfId="0" applyAlignment="1" applyBorder="1" applyFill="1" applyFont="1">
      <alignment vertical="bottom"/>
    </xf>
    <xf borderId="4" fillId="5" fontId="3" numFmtId="164" xfId="0" applyAlignment="1" applyBorder="1" applyFont="1" applyNumberFormat="1">
      <alignment horizontal="left" readingOrder="0" vertical="bottom"/>
    </xf>
    <xf borderId="4" fillId="6" fontId="3" numFmtId="0" xfId="0" applyAlignment="1" applyBorder="1" applyFill="1" applyFont="1">
      <alignment horizontal="right" readingOrder="0" vertical="bottom"/>
    </xf>
    <xf borderId="4" fillId="5" fontId="3" numFmtId="0" xfId="0" applyAlignment="1" applyBorder="1" applyFont="1">
      <alignment readingOrder="0" vertical="bottom"/>
    </xf>
    <xf borderId="4" fillId="5" fontId="3" numFmtId="164" xfId="0" applyAlignment="1" applyBorder="1" applyFont="1" applyNumberFormat="1">
      <alignment horizontal="center" readingOrder="0" vertical="bottom"/>
    </xf>
    <xf borderId="9" fillId="5" fontId="3" numFmtId="0" xfId="0" applyAlignment="1" applyBorder="1" applyFont="1">
      <alignment readingOrder="0" vertical="bottom"/>
    </xf>
    <xf borderId="9" fillId="5" fontId="3" numFmtId="164" xfId="0" applyAlignment="1" applyBorder="1" applyFont="1" applyNumberFormat="1">
      <alignment horizontal="right" readingOrder="0" vertical="bottom"/>
    </xf>
    <xf borderId="3" fillId="0" fontId="3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4" fillId="3" fontId="3" numFmtId="0" xfId="0" applyAlignment="1" applyBorder="1" applyFont="1">
      <alignment readingOrder="0" vertical="bottom"/>
    </xf>
    <xf borderId="4" fillId="3" fontId="3" numFmtId="164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readingOrder="0" vertical="bottom"/>
    </xf>
    <xf borderId="9" fillId="0" fontId="3" numFmtId="164" xfId="0" applyAlignment="1" applyBorder="1" applyFont="1" applyNumberFormat="1">
      <alignment horizontal="right" readingOrder="0" vertical="bottom"/>
    </xf>
    <xf borderId="4" fillId="5" fontId="3" numFmtId="0" xfId="0" applyAlignment="1" applyBorder="1" applyFont="1">
      <alignment horizontal="right" readingOrder="0" vertical="bottom"/>
    </xf>
    <xf borderId="4" fillId="5" fontId="3" numFmtId="0" xfId="0" applyAlignment="1" applyBorder="1" applyFont="1">
      <alignment vertical="bottom"/>
    </xf>
    <xf borderId="4" fillId="5" fontId="3" numFmtId="164" xfId="0" applyAlignment="1" applyBorder="1" applyFont="1" applyNumberFormat="1">
      <alignment horizontal="center" vertical="bottom"/>
    </xf>
    <xf borderId="8" fillId="3" fontId="3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left" readingOrder="0" vertical="bottom"/>
    </xf>
    <xf borderId="4" fillId="3" fontId="3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center" vertical="bottom"/>
    </xf>
    <xf borderId="8" fillId="5" fontId="3" numFmtId="0" xfId="0" applyAlignment="1" applyBorder="1" applyFont="1">
      <alignment readingOrder="0" vertical="bottom"/>
    </xf>
    <xf borderId="0" fillId="3" fontId="4" numFmtId="164" xfId="0" applyAlignment="1" applyFont="1" applyNumberFormat="1">
      <alignment horizontal="center" readingOrder="0" vertical="bottom"/>
    </xf>
    <xf borderId="8" fillId="3" fontId="3" numFmtId="0" xfId="0" applyAlignment="1" applyBorder="1" applyFont="1">
      <alignment readingOrder="0" vertical="bottom"/>
    </xf>
    <xf borderId="4" fillId="3" fontId="3" numFmtId="164" xfId="0" applyAlignment="1" applyBorder="1" applyFont="1" applyNumberFormat="1">
      <alignment vertical="bottom"/>
    </xf>
    <xf borderId="4" fillId="5" fontId="3" numFmtId="164" xfId="0" applyAlignment="1" applyBorder="1" applyFont="1" applyNumberFormat="1">
      <alignment vertical="bottom"/>
    </xf>
    <xf borderId="4" fillId="5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readingOrder="0" vertical="bottom"/>
    </xf>
    <xf borderId="4" fillId="0" fontId="3" numFmtId="164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horizontal="right" vertical="bottom"/>
    </xf>
    <xf borderId="4" fillId="5" fontId="3" numFmtId="164" xfId="0" applyAlignment="1" applyBorder="1" applyFont="1" applyNumberFormat="1">
      <alignment horizontal="left" vertical="bottom"/>
    </xf>
    <xf borderId="9" fillId="5" fontId="3" numFmtId="0" xfId="0" applyAlignment="1" applyBorder="1" applyFont="1">
      <alignment horizontal="right" readingOrder="0" vertical="bottom"/>
    </xf>
    <xf borderId="4" fillId="0" fontId="3" numFmtId="164" xfId="0" applyAlignment="1" applyBorder="1" applyFont="1" applyNumberFormat="1">
      <alignment horizontal="left" vertical="bottom"/>
    </xf>
    <xf borderId="4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3" numFmtId="164" xfId="0" applyAlignment="1" applyBorder="1" applyFont="1" applyNumberFormat="1">
      <alignment horizontal="right" vertical="bottom"/>
    </xf>
    <xf borderId="7" fillId="5" fontId="3" numFmtId="0" xfId="0" applyAlignment="1" applyBorder="1" applyFont="1">
      <alignment horizontal="right" vertical="bottom"/>
    </xf>
    <xf borderId="9" fillId="5" fontId="3" numFmtId="0" xfId="0" applyAlignment="1" applyBorder="1" applyFont="1">
      <alignment vertical="bottom"/>
    </xf>
    <xf borderId="9" fillId="5" fontId="3" numFmtId="164" xfId="0" applyAlignment="1" applyBorder="1" applyFont="1" applyNumberFormat="1">
      <alignment horizontal="right" vertical="bottom"/>
    </xf>
    <xf borderId="9" fillId="3" fontId="3" numFmtId="0" xfId="0" applyAlignment="1" applyBorder="1" applyFont="1">
      <alignment vertical="bottom"/>
    </xf>
    <xf borderId="9" fillId="3" fontId="3" numFmtId="164" xfId="0" applyAlignment="1" applyBorder="1" applyFont="1" applyNumberFormat="1">
      <alignment horizontal="right" vertical="bottom"/>
    </xf>
    <xf borderId="7" fillId="7" fontId="3" numFmtId="0" xfId="0" applyAlignment="1" applyBorder="1" applyFill="1" applyFont="1">
      <alignment vertical="bottom"/>
    </xf>
    <xf borderId="7" fillId="7" fontId="3" numFmtId="164" xfId="0" applyAlignment="1" applyBorder="1" applyFont="1" applyNumberFormat="1">
      <alignment horizontal="center" vertical="bottom"/>
    </xf>
    <xf borderId="9" fillId="7" fontId="3" numFmtId="0" xfId="0" applyAlignment="1" applyBorder="1" applyFont="1">
      <alignment vertical="bottom"/>
    </xf>
    <xf borderId="9" fillId="7" fontId="3" numFmtId="164" xfId="0" applyAlignment="1" applyBorder="1" applyFont="1" applyNumberFormat="1">
      <alignment horizontal="right" vertical="bottom"/>
    </xf>
    <xf borderId="10" fillId="7" fontId="3" numFmtId="0" xfId="0" applyAlignment="1" applyBorder="1" applyFont="1">
      <alignment vertical="bottom"/>
    </xf>
    <xf borderId="7" fillId="7" fontId="3" numFmtId="164" xfId="0" applyAlignment="1" applyBorder="1" applyFont="1" applyNumberForma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5" fillId="2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/>
    </xf>
    <xf borderId="9" fillId="3" fontId="3" numFmtId="16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readingOrder="0"/>
    </xf>
    <xf borderId="9" fillId="5" fontId="3" numFmtId="164" xfId="0" applyAlignment="1" applyBorder="1" applyFont="1" applyNumberFormat="1">
      <alignment horizontal="center" readingOrder="0" vertical="bottom"/>
    </xf>
    <xf borderId="9" fillId="0" fontId="3" numFmtId="164" xfId="0" applyAlignment="1" applyBorder="1" applyFont="1" applyNumberFormat="1">
      <alignment horizontal="center" readingOrder="0" vertical="bottom"/>
    </xf>
    <xf borderId="9" fillId="0" fontId="3" numFmtId="164" xfId="0" applyAlignment="1" applyBorder="1" applyFont="1" applyNumberFormat="1">
      <alignment readingOrder="0" vertical="bottom"/>
    </xf>
    <xf borderId="9" fillId="5" fontId="3" numFmtId="164" xfId="0" applyAlignment="1" applyBorder="1" applyFont="1" applyNumberFormat="1">
      <alignment readingOrder="0" vertical="bottom"/>
    </xf>
    <xf borderId="9" fillId="7" fontId="3" numFmtId="0" xfId="0" applyAlignment="1" applyBorder="1" applyFont="1">
      <alignment readingOrder="0" vertical="bottom"/>
    </xf>
    <xf borderId="9" fillId="7" fontId="3" numFmtId="164" xfId="0" applyAlignment="1" applyBorder="1" applyFont="1" applyNumberFormat="1">
      <alignment readingOrder="0" vertical="bottom"/>
    </xf>
    <xf borderId="7" fillId="0" fontId="3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horizontal="center" readingOrder="0" vertical="bottom"/>
    </xf>
    <xf borderId="7" fillId="5" fontId="3" numFmtId="0" xfId="0" applyAlignment="1" applyBorder="1" applyFont="1">
      <alignment readingOrder="0" vertical="bottom"/>
    </xf>
    <xf borderId="7" fillId="5" fontId="3" numFmtId="164" xfId="0" applyAlignment="1" applyBorder="1" applyFont="1" applyNumberForma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7" fillId="5" fontId="3" numFmtId="0" xfId="0" applyAlignment="1" applyBorder="1" applyFont="1">
      <alignment horizontal="center" readingOrder="0" vertical="bottom"/>
    </xf>
    <xf borderId="0" fillId="3" fontId="4" numFmtId="164" xfId="0" applyAlignment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7" fillId="5" fontId="3" numFmtId="0" xfId="0" applyAlignment="1" applyBorder="1" applyFont="1">
      <alignment vertical="bottom"/>
    </xf>
    <xf borderId="7" fillId="5" fontId="3" numFmtId="164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164" xfId="0" applyAlignment="1" applyBorder="1" applyFont="1" applyNumberFormat="1">
      <alignment horizontal="center" vertical="bottom"/>
    </xf>
    <xf borderId="7" fillId="3" fontId="3" numFmtId="0" xfId="0" applyAlignment="1" applyBorder="1" applyFont="1">
      <alignment vertical="bottom"/>
    </xf>
    <xf borderId="7" fillId="3" fontId="3" numFmtId="164" xfId="0" applyAlignment="1" applyBorder="1" applyFont="1" applyNumberFormat="1">
      <alignment horizontal="center" vertical="bottom"/>
    </xf>
    <xf borderId="9" fillId="7" fontId="3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9" fillId="5" fontId="3" numFmtId="0" xfId="0" applyAlignment="1" applyBorder="1" applyFont="1">
      <alignment horizontal="center" readingOrder="0" vertical="bottom"/>
    </xf>
    <xf borderId="9" fillId="5" fontId="3" numFmtId="164" xfId="0" applyAlignment="1" applyBorder="1" applyFont="1" applyNumberFormat="1">
      <alignment horizontal="center" vertical="bottom"/>
    </xf>
    <xf borderId="9" fillId="0" fontId="3" numFmtId="164" xfId="0" applyAlignment="1" applyBorder="1" applyFont="1" applyNumberFormat="1">
      <alignment horizontal="center" vertical="bottom"/>
    </xf>
    <xf borderId="9" fillId="3" fontId="3" numFmtId="164" xfId="0" applyAlignment="1" applyBorder="1" applyFont="1" applyNumberFormat="1">
      <alignment horizontal="center" vertical="bottom"/>
    </xf>
    <xf borderId="4" fillId="3" fontId="3" numFmtId="164" xfId="0" applyAlignment="1" applyBorder="1" applyFont="1" applyNumberFormat="1">
      <alignment readingOrder="0" vertical="bottom"/>
    </xf>
    <xf borderId="7" fillId="3" fontId="3" numFmtId="0" xfId="0" applyAlignment="1" applyBorder="1" applyFont="1">
      <alignment readingOrder="0" vertical="bottom"/>
    </xf>
    <xf borderId="7" fillId="3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5" numFmtId="164" xfId="0" applyFont="1" applyNumberForma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7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center" vertical="bottom"/>
    </xf>
    <xf borderId="5" fillId="0" fontId="2" numFmtId="0" xfId="0" applyBorder="1" applyFont="1"/>
    <xf borderId="3" fillId="0" fontId="2" numFmtId="0" xfId="0" applyBorder="1" applyFont="1"/>
    <xf borderId="4" fillId="0" fontId="3" numFmtId="164" xfId="0" applyAlignment="1" applyBorder="1" applyFont="1" applyNumberFormat="1">
      <alignment horizontal="right" readingOrder="0" vertical="bottom"/>
    </xf>
    <xf borderId="3" fillId="4" fontId="1" numFmtId="164" xfId="0" applyAlignment="1" applyBorder="1" applyFont="1" applyNumberFormat="1">
      <alignment horizontal="right" readingOrder="0" vertical="bottom"/>
    </xf>
    <xf borderId="3" fillId="4" fontId="1" numFmtId="49" xfId="0" applyAlignment="1" applyBorder="1" applyFont="1" applyNumberFormat="1">
      <alignment horizontal="center" readingOrder="0" vertical="bottom"/>
    </xf>
    <xf borderId="4" fillId="5" fontId="3" numFmtId="164" xfId="0" applyAlignment="1" applyBorder="1" applyFont="1" applyNumberFormat="1">
      <alignment horizontal="right" readingOrder="0" vertical="bottom"/>
    </xf>
    <xf borderId="10" fillId="5" fontId="3" numFmtId="0" xfId="0" applyAlignment="1" applyBorder="1" applyFont="1">
      <alignment readingOrder="0" vertical="bottom"/>
    </xf>
    <xf borderId="7" fillId="5" fontId="3" numFmtId="164" xfId="0" applyAlignment="1" applyBorder="1" applyFont="1" applyNumberFormat="1">
      <alignment horizontal="right" readingOrder="0" vertical="bottom"/>
    </xf>
    <xf borderId="7" fillId="5" fontId="3" numFmtId="49" xfId="0" applyAlignment="1" applyBorder="1" applyFont="1" applyNumberFormat="1">
      <alignment horizontal="center" readingOrder="0" vertical="bottom"/>
    </xf>
    <xf borderId="4" fillId="3" fontId="3" numFmtId="164" xfId="0" applyAlignment="1" applyBorder="1" applyFont="1" applyNumberFormat="1">
      <alignment horizontal="right" readingOrder="0" vertical="bottom"/>
    </xf>
    <xf borderId="10" fillId="0" fontId="3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horizontal="right" readingOrder="0" vertical="bottom"/>
    </xf>
    <xf borderId="7" fillId="0" fontId="3" numFmtId="49" xfId="0" applyAlignment="1" applyBorder="1" applyFont="1" applyNumberFormat="1">
      <alignment horizontal="center" readingOrder="0" vertical="bottom"/>
    </xf>
    <xf borderId="4" fillId="5" fontId="3" numFmtId="164" xfId="0" applyAlignment="1" applyBorder="1" applyFont="1" applyNumberFormat="1">
      <alignment horizontal="right" vertical="bottom"/>
    </xf>
    <xf borderId="4" fillId="3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10" fillId="5" fontId="3" numFmtId="0" xfId="0" applyAlignment="1" applyBorder="1" applyFont="1">
      <alignment vertical="bottom"/>
    </xf>
    <xf borderId="7" fillId="5" fontId="3" numFmtId="164" xfId="0" applyAlignment="1" applyBorder="1" applyFont="1" applyNumberFormat="1">
      <alignment horizontal="right" vertical="bottom"/>
    </xf>
    <xf borderId="7" fillId="5" fontId="3" numFmtId="49" xfId="0" applyAlignment="1" applyBorder="1" applyFont="1" applyNumberFormat="1">
      <alignment horizontal="center" vertical="bottom"/>
    </xf>
    <xf borderId="10" fillId="0" fontId="3" numFmtId="0" xfId="0" applyAlignment="1" applyBorder="1" applyFont="1">
      <alignment vertical="bottom"/>
    </xf>
    <xf borderId="7" fillId="0" fontId="3" numFmtId="164" xfId="0" applyAlignment="1" applyBorder="1" applyFont="1" applyNumberFormat="1">
      <alignment horizontal="right" vertical="bottom"/>
    </xf>
    <xf borderId="7" fillId="0" fontId="3" numFmtId="49" xfId="0" applyAlignment="1" applyBorder="1" applyFont="1" applyNumberFormat="1">
      <alignment horizontal="center" vertical="bottom"/>
    </xf>
    <xf borderId="10" fillId="3" fontId="3" numFmtId="0" xfId="0" applyAlignment="1" applyBorder="1" applyFont="1">
      <alignment vertical="bottom"/>
    </xf>
    <xf borderId="7" fillId="3" fontId="3" numFmtId="164" xfId="0" applyAlignment="1" applyBorder="1" applyFont="1" applyNumberFormat="1">
      <alignment horizontal="right" vertical="bottom"/>
    </xf>
    <xf borderId="7" fillId="3" fontId="3" numFmtId="49" xfId="0" applyAlignment="1" applyBorder="1" applyFont="1" applyNumberFormat="1">
      <alignment horizontal="center" vertical="bottom"/>
    </xf>
    <xf borderId="7" fillId="7" fontId="3" numFmtId="164" xfId="0" applyAlignment="1" applyBorder="1" applyFont="1" applyNumberFormat="1">
      <alignment horizontal="right" vertical="bottom"/>
    </xf>
    <xf borderId="1" fillId="7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9" fillId="3" fontId="3" numFmtId="164" xfId="0" applyAlignment="1" applyBorder="1" applyFont="1" applyNumberFormat="1">
      <alignment horizontal="right" readingOrder="0" vertical="center"/>
    </xf>
    <xf borderId="9" fillId="5" fontId="3" numFmtId="164" xfId="0" applyAlignment="1" applyBorder="1" applyFont="1" applyNumberFormat="1">
      <alignment horizontal="right" readingOrder="0" vertical="center"/>
    </xf>
    <xf borderId="9" fillId="0" fontId="3" numFmtId="164" xfId="0" applyAlignment="1" applyBorder="1" applyFont="1" applyNumberFormat="1">
      <alignment horizontal="right" readingOrder="0" vertical="center"/>
    </xf>
    <xf borderId="9" fillId="5" fontId="3" numFmtId="0" xfId="0" applyAlignment="1" applyBorder="1" applyFont="1">
      <alignment horizontal="right" readingOrder="0" vertical="center"/>
    </xf>
    <xf borderId="9" fillId="7" fontId="3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/>
    </xf>
    <xf borderId="0" fillId="0" fontId="5" numFmtId="49" xfId="0" applyFont="1" applyNumberFormat="1"/>
    <xf borderId="3" fillId="4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right" vertical="bottom"/>
    </xf>
    <xf borderId="4" fillId="6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center" readingOrder="0" vertical="bottom"/>
    </xf>
    <xf borderId="4" fillId="5" fontId="3" numFmtId="164" xfId="0" applyAlignment="1" applyBorder="1" applyFont="1" applyNumberFormat="1">
      <alignment readingOrder="0" vertical="bottom"/>
    </xf>
    <xf borderId="7" fillId="5" fontId="3" numFmtId="166" xfId="0" applyAlignment="1" applyBorder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readingOrder="0" vertical="bottom"/>
    </xf>
    <xf borderId="7" fillId="0" fontId="3" numFmtId="166" xfId="0" applyAlignment="1" applyBorder="1" applyFont="1" applyNumberFormat="1">
      <alignment horizontal="center" readingOrder="0" vertical="bottom"/>
    </xf>
    <xf borderId="7" fillId="3" fontId="3" numFmtId="164" xfId="0" applyAlignment="1" applyBorder="1" applyFont="1" applyNumberFormat="1">
      <alignment horizontal="right" readingOrder="0" vertical="bottom"/>
    </xf>
    <xf borderId="7" fillId="3" fontId="3" numFmtId="166" xfId="0" applyAlignment="1" applyBorder="1" applyFont="1" applyNumberFormat="1">
      <alignment horizontal="center" readingOrder="0" vertical="bottom"/>
    </xf>
    <xf borderId="7" fillId="3" fontId="3" numFmtId="164" xfId="0" applyAlignment="1" applyBorder="1" applyFont="1" applyNumberFormat="1">
      <alignment readingOrder="0" vertical="bottom"/>
    </xf>
    <xf borderId="7" fillId="3" fontId="3" numFmtId="166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7" fillId="3" fontId="3" numFmtId="49" xfId="0" applyAlignment="1" applyBorder="1" applyFont="1" applyNumberFormat="1">
      <alignment horizontal="center" readingOrder="0" vertical="bottom"/>
    </xf>
    <xf borderId="7" fillId="3" fontId="3" numFmtId="49" xfId="0" applyAlignment="1" applyBorder="1" applyFont="1" applyNumberFormat="1">
      <alignment readingOrder="0" vertical="bottom"/>
    </xf>
    <xf quotePrefix="1" borderId="0" fillId="0" fontId="5" numFmtId="0" xfId="0" applyAlignment="1" applyFont="1">
      <alignment readingOrder="0"/>
    </xf>
    <xf borderId="7" fillId="0" fontId="3" numFmtId="0" xfId="0" applyAlignment="1" applyBorder="1" applyFont="1">
      <alignment vertical="bottom"/>
    </xf>
    <xf borderId="7" fillId="5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9" fillId="5" fontId="3" numFmtId="49" xfId="0" applyAlignment="1" applyBorder="1" applyFont="1" applyNumberFormat="1">
      <alignment horizontal="center" readingOrder="0" vertical="bottom"/>
    </xf>
    <xf borderId="9" fillId="0" fontId="3" numFmtId="49" xfId="0" applyAlignment="1" applyBorder="1" applyFont="1" applyNumberFormat="1">
      <alignment horizontal="center" readingOrder="0" vertical="bottom"/>
    </xf>
    <xf borderId="9" fillId="0" fontId="3" numFmtId="164" xfId="0" applyAlignment="1" applyBorder="1" applyFont="1" applyNumberFormat="1">
      <alignment vertical="bottom"/>
    </xf>
    <xf borderId="9" fillId="0" fontId="3" numFmtId="49" xfId="0" applyAlignment="1" applyBorder="1" applyFont="1" applyNumberFormat="1">
      <alignment horizontal="center" vertical="bottom"/>
    </xf>
    <xf borderId="9" fillId="5" fontId="3" numFmtId="164" xfId="0" applyAlignment="1" applyBorder="1" applyFont="1" applyNumberFormat="1">
      <alignment vertical="bottom"/>
    </xf>
    <xf borderId="9" fillId="5" fontId="3" numFmtId="49" xfId="0" applyAlignment="1" applyBorder="1" applyFont="1" applyNumberFormat="1">
      <alignment horizontal="center" vertical="bottom"/>
    </xf>
    <xf borderId="9" fillId="0" fontId="5" numFmtId="0" xfId="0" applyBorder="1" applyFont="1"/>
    <xf borderId="7" fillId="3" fontId="3" numFmtId="0" xfId="0" applyAlignment="1" applyBorder="1" applyFont="1">
      <alignment vertical="bottom"/>
    </xf>
    <xf borderId="7" fillId="5" fontId="3" numFmtId="0" xfId="0" applyAlignment="1" applyBorder="1" applyFont="1">
      <alignment horizontal="center" vertical="bottom"/>
    </xf>
    <xf borderId="9" fillId="3" fontId="3" numFmtId="164" xfId="0" applyAlignment="1" applyBorder="1" applyFont="1" applyNumberFormat="1">
      <alignment readingOrder="0" vertical="bottom"/>
    </xf>
    <xf borderId="9" fillId="3" fontId="3" numFmtId="49" xfId="0" applyAlignment="1" applyBorder="1" applyFont="1" applyNumberFormat="1">
      <alignment horizontal="center" readingOrder="0" vertical="bottom"/>
    </xf>
    <xf borderId="0" fillId="3" fontId="3" numFmtId="164" xfId="0" applyAlignment="1" applyFont="1" applyNumberFormat="1">
      <alignment horizontal="center" readingOrder="0" vertical="bottom"/>
    </xf>
    <xf borderId="0" fillId="3" fontId="3" numFmtId="0" xfId="0" applyAlignment="1" applyFont="1">
      <alignment readingOrder="0" vertical="bottom"/>
    </xf>
    <xf borderId="0" fillId="3" fontId="3" numFmtId="164" xfId="0" applyAlignment="1" applyFont="1" applyNumberFormat="1">
      <alignment readingOrder="0" vertical="bottom"/>
    </xf>
    <xf borderId="0" fillId="3" fontId="3" numFmtId="49" xfId="0" applyAlignment="1" applyFont="1" applyNumberFormat="1">
      <alignment horizontal="center" readingOrder="0" vertical="bottom"/>
    </xf>
    <xf borderId="0" fillId="3" fontId="3" numFmtId="164" xfId="0" applyAlignment="1" applyFont="1" applyNumberFormat="1">
      <alignment vertical="bottom"/>
    </xf>
    <xf borderId="0" fillId="3" fontId="3" numFmtId="49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right" vertical="bottom"/>
    </xf>
    <xf borderId="9" fillId="0" fontId="3" numFmtId="0" xfId="0" applyAlignment="1" applyBorder="1" applyFont="1">
      <alignment horizontal="center" vertical="bottom"/>
    </xf>
    <xf borderId="9" fillId="5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49" xfId="0" applyAlignment="1" applyFont="1" applyNumberFormat="1">
      <alignment readingOrder="0" vertical="bottom"/>
    </xf>
    <xf borderId="7" fillId="3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7" max="7" width="11.13"/>
    <col customWidth="1" min="8" max="8" width="4.0"/>
    <col customWidth="1" min="9" max="9" width="5.38"/>
    <col customWidth="1" min="10" max="10" width="20.13"/>
    <col customWidth="1" min="12" max="12" width="4.88"/>
    <col customWidth="1" min="15" max="15" width="4.2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6"/>
      <c r="I1" s="6"/>
      <c r="J1" s="1" t="s">
        <v>2</v>
      </c>
      <c r="K1" s="2"/>
      <c r="L1" s="7"/>
      <c r="M1" s="3"/>
      <c r="N1" s="3"/>
      <c r="O1" s="7"/>
      <c r="P1" s="7"/>
      <c r="Q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10" t="s">
        <v>4</v>
      </c>
      <c r="H2" s="7"/>
      <c r="I2" s="7"/>
      <c r="J2" s="11" t="s">
        <v>3</v>
      </c>
      <c r="K2" s="2"/>
      <c r="L2" s="4"/>
      <c r="M2" s="12" t="s">
        <v>5</v>
      </c>
      <c r="N2" s="9"/>
      <c r="O2" s="7"/>
      <c r="P2" s="3"/>
      <c r="Q2" s="3"/>
    </row>
    <row r="3">
      <c r="A3" s="13" t="s">
        <v>6</v>
      </c>
      <c r="B3" s="14">
        <v>119.41</v>
      </c>
      <c r="C3" s="15" t="s">
        <v>7</v>
      </c>
      <c r="D3" s="4"/>
      <c r="E3" s="16" t="s">
        <v>8</v>
      </c>
      <c r="F3" s="17">
        <v>8500.0</v>
      </c>
      <c r="G3" s="15"/>
      <c r="H3" s="7"/>
      <c r="I3" s="7"/>
      <c r="J3" s="18"/>
      <c r="K3" s="19"/>
      <c r="L3" s="4"/>
      <c r="M3" s="20" t="s">
        <v>9</v>
      </c>
      <c r="N3" s="9"/>
      <c r="O3" s="4"/>
      <c r="P3" s="12" t="s">
        <v>10</v>
      </c>
      <c r="Q3" s="9"/>
    </row>
    <row r="4">
      <c r="A4" s="21" t="s">
        <v>11</v>
      </c>
      <c r="B4" s="22">
        <v>109.99</v>
      </c>
      <c r="C4" s="23" t="s">
        <v>7</v>
      </c>
      <c r="D4" s="4"/>
      <c r="E4" s="24" t="s">
        <v>12</v>
      </c>
      <c r="F4" s="25">
        <v>3320.58</v>
      </c>
      <c r="G4" s="23"/>
      <c r="H4" s="7"/>
      <c r="I4" s="7"/>
      <c r="J4" s="26"/>
      <c r="K4" s="27"/>
      <c r="L4" s="4"/>
      <c r="M4" s="28">
        <f>B19</f>
        <v>8952.85</v>
      </c>
      <c r="N4" s="9"/>
      <c r="O4" s="7"/>
      <c r="P4" s="29">
        <v>0.0</v>
      </c>
    </row>
    <row r="5">
      <c r="A5" s="13" t="s">
        <v>13</v>
      </c>
      <c r="B5" s="14">
        <v>500.0</v>
      </c>
      <c r="C5" s="15" t="s">
        <v>7</v>
      </c>
      <c r="D5" s="4"/>
      <c r="E5" s="30"/>
      <c r="F5" s="31"/>
      <c r="G5" s="15"/>
      <c r="H5" s="7"/>
      <c r="I5" s="7"/>
      <c r="J5" s="32"/>
      <c r="K5" s="33"/>
      <c r="L5" s="4"/>
      <c r="M5" s="20" t="s">
        <v>1</v>
      </c>
      <c r="N5" s="9"/>
      <c r="O5" s="7"/>
      <c r="P5" s="7"/>
      <c r="Q5" s="7"/>
    </row>
    <row r="6">
      <c r="A6" s="21" t="s">
        <v>14</v>
      </c>
      <c r="B6" s="22">
        <v>1373.0</v>
      </c>
      <c r="C6" s="34" t="s">
        <v>7</v>
      </c>
      <c r="D6" s="4"/>
      <c r="E6" s="35"/>
      <c r="F6" s="36"/>
      <c r="G6" s="34"/>
      <c r="H6" s="7"/>
      <c r="I6" s="7"/>
      <c r="J6" s="26"/>
      <c r="K6" s="27"/>
      <c r="L6" s="4"/>
      <c r="M6" s="28">
        <f>F18</f>
        <v>11820.58</v>
      </c>
      <c r="N6" s="9"/>
      <c r="O6" s="7"/>
      <c r="P6" s="7"/>
      <c r="Q6" s="7"/>
    </row>
    <row r="7">
      <c r="A7" s="37" t="s">
        <v>15</v>
      </c>
      <c r="B7" s="38">
        <v>1260.45</v>
      </c>
      <c r="C7" s="15" t="s">
        <v>7</v>
      </c>
      <c r="D7" s="4"/>
      <c r="E7" s="39"/>
      <c r="F7" s="40"/>
      <c r="G7" s="15"/>
      <c r="H7" s="7"/>
      <c r="I7" s="7"/>
      <c r="J7" s="32"/>
      <c r="K7" s="33"/>
      <c r="L7" s="7"/>
      <c r="M7" s="12" t="s">
        <v>16</v>
      </c>
      <c r="N7" s="9"/>
      <c r="O7" s="7"/>
      <c r="P7" s="7"/>
      <c r="Q7" s="7"/>
    </row>
    <row r="8">
      <c r="A8" s="41" t="s">
        <v>17</v>
      </c>
      <c r="B8" s="22">
        <v>4500.0</v>
      </c>
      <c r="C8" s="34" t="s">
        <v>7</v>
      </c>
      <c r="D8" s="4"/>
      <c r="E8" s="35"/>
      <c r="F8" s="36"/>
      <c r="G8" s="34"/>
      <c r="H8" s="7"/>
      <c r="I8" s="7"/>
      <c r="J8" s="26"/>
      <c r="K8" s="27"/>
      <c r="L8" s="7"/>
      <c r="M8" s="42">
        <v>0.0</v>
      </c>
      <c r="O8" s="7"/>
      <c r="P8" s="7"/>
      <c r="Q8" s="7"/>
    </row>
    <row r="9">
      <c r="A9" s="43" t="s">
        <v>18</v>
      </c>
      <c r="B9" s="38">
        <v>1035.0</v>
      </c>
      <c r="C9" s="15" t="s">
        <v>7</v>
      </c>
      <c r="D9" s="4"/>
      <c r="E9" s="39"/>
      <c r="F9" s="44"/>
      <c r="G9" s="15"/>
      <c r="H9" s="7"/>
      <c r="I9" s="7"/>
      <c r="J9" s="32"/>
      <c r="K9" s="33"/>
      <c r="L9" s="7"/>
      <c r="M9" s="12" t="s">
        <v>19</v>
      </c>
      <c r="N9" s="9"/>
      <c r="O9" s="7"/>
      <c r="P9" s="7"/>
      <c r="Q9" s="7"/>
    </row>
    <row r="10">
      <c r="A10" s="41" t="s">
        <v>20</v>
      </c>
      <c r="B10" s="22">
        <v>55.0</v>
      </c>
      <c r="C10" s="34" t="s">
        <v>7</v>
      </c>
      <c r="D10" s="4"/>
      <c r="E10" s="35"/>
      <c r="F10" s="45"/>
      <c r="G10" s="46"/>
      <c r="H10" s="7"/>
      <c r="I10" s="7"/>
      <c r="J10" s="26"/>
      <c r="K10" s="27"/>
      <c r="L10" s="7"/>
      <c r="M10" s="42">
        <v>0.0</v>
      </c>
      <c r="O10" s="7"/>
      <c r="P10" s="7"/>
      <c r="Q10" s="7"/>
    </row>
    <row r="11">
      <c r="A11" s="47"/>
      <c r="B11" s="14"/>
      <c r="C11" s="15"/>
      <c r="D11" s="4"/>
      <c r="E11" s="4"/>
      <c r="F11" s="48"/>
      <c r="G11" s="49"/>
      <c r="H11" s="7"/>
      <c r="I11" s="7"/>
      <c r="J11" s="32"/>
      <c r="K11" s="33"/>
      <c r="L11" s="7"/>
      <c r="M11" s="7"/>
      <c r="N11" s="7"/>
      <c r="O11" s="7"/>
      <c r="P11" s="7"/>
      <c r="Q11" s="7"/>
    </row>
    <row r="12">
      <c r="A12" s="21"/>
      <c r="B12" s="50"/>
      <c r="C12" s="46"/>
      <c r="D12" s="4"/>
      <c r="E12" s="35"/>
      <c r="F12" s="45"/>
      <c r="G12" s="46"/>
      <c r="H12" s="7"/>
      <c r="I12" s="7"/>
      <c r="J12" s="26"/>
      <c r="K12" s="51"/>
      <c r="L12" s="7"/>
      <c r="M12" s="7"/>
      <c r="N12" s="7"/>
      <c r="O12" s="7"/>
      <c r="P12" s="7"/>
      <c r="Q12" s="7"/>
    </row>
    <row r="13">
      <c r="A13" s="13"/>
      <c r="B13" s="52"/>
      <c r="C13" s="53"/>
      <c r="D13" s="4"/>
      <c r="E13" s="4"/>
      <c r="F13" s="48"/>
      <c r="G13" s="53"/>
      <c r="H13" s="7"/>
      <c r="I13" s="7"/>
      <c r="J13" s="32"/>
      <c r="K13" s="33"/>
      <c r="L13" s="7"/>
      <c r="M13" s="7"/>
      <c r="N13" s="7"/>
      <c r="O13" s="7"/>
      <c r="P13" s="7"/>
      <c r="Q13" s="7"/>
    </row>
    <row r="14">
      <c r="A14" s="21"/>
      <c r="B14" s="50"/>
      <c r="C14" s="46"/>
      <c r="D14" s="4"/>
      <c r="E14" s="35"/>
      <c r="F14" s="45"/>
      <c r="G14" s="46"/>
      <c r="H14" s="7"/>
      <c r="I14" s="7"/>
      <c r="J14" s="26"/>
      <c r="K14" s="27"/>
      <c r="L14" s="7"/>
      <c r="M14" s="7"/>
      <c r="N14" s="7"/>
      <c r="O14" s="7"/>
      <c r="P14" s="7"/>
      <c r="Q14" s="7"/>
    </row>
    <row r="15">
      <c r="A15" s="13"/>
      <c r="B15" s="52"/>
      <c r="C15" s="53"/>
      <c r="D15" s="4"/>
      <c r="E15" s="4"/>
      <c r="F15" s="48"/>
      <c r="G15" s="53"/>
      <c r="H15" s="7"/>
      <c r="I15" s="7"/>
      <c r="J15" s="54"/>
      <c r="K15" s="55"/>
      <c r="L15" s="7"/>
      <c r="M15" s="7"/>
      <c r="N15" s="7"/>
      <c r="O15" s="7"/>
      <c r="P15" s="7"/>
      <c r="Q15" s="7"/>
    </row>
    <row r="16">
      <c r="A16" s="21"/>
      <c r="B16" s="50"/>
      <c r="C16" s="46"/>
      <c r="D16" s="4"/>
      <c r="E16" s="35"/>
      <c r="F16" s="45"/>
      <c r="G16" s="56"/>
      <c r="H16" s="7"/>
      <c r="I16" s="7"/>
      <c r="J16" s="57"/>
      <c r="K16" s="58"/>
      <c r="L16" s="7"/>
      <c r="M16" s="7"/>
      <c r="N16" s="7"/>
      <c r="O16" s="7"/>
      <c r="P16" s="7"/>
      <c r="Q16" s="7"/>
    </row>
    <row r="17">
      <c r="A17" s="13"/>
      <c r="B17" s="52"/>
      <c r="C17" s="53"/>
      <c r="D17" s="4"/>
      <c r="E17" s="4"/>
      <c r="F17" s="48"/>
      <c r="I17" s="7"/>
      <c r="J17" s="59"/>
      <c r="K17" s="60"/>
      <c r="L17" s="7"/>
      <c r="M17" s="7"/>
      <c r="N17" s="7"/>
      <c r="O17" s="7"/>
      <c r="P17" s="7"/>
      <c r="Q17" s="7"/>
    </row>
    <row r="18">
      <c r="A18" s="21"/>
      <c r="B18" s="50"/>
      <c r="C18" s="56"/>
      <c r="D18" s="4"/>
      <c r="E18" s="61" t="s">
        <v>21</v>
      </c>
      <c r="F18" s="62">
        <f>SUM(F3:F17)</f>
        <v>11820.58</v>
      </c>
      <c r="I18" s="7"/>
      <c r="J18" s="63" t="s">
        <v>21</v>
      </c>
      <c r="K18" s="64">
        <f>SUM(K3:K17)</f>
        <v>0</v>
      </c>
      <c r="L18" s="7"/>
      <c r="M18" s="7"/>
      <c r="N18" s="7"/>
      <c r="O18" s="7"/>
      <c r="P18" s="7"/>
      <c r="Q18" s="7"/>
    </row>
    <row r="19">
      <c r="A19" s="65" t="s">
        <v>21</v>
      </c>
      <c r="B19" s="66">
        <f>SUM(B3:B18)</f>
        <v>8952.85</v>
      </c>
      <c r="C19" s="7"/>
      <c r="D19" s="7"/>
      <c r="E19" s="7"/>
      <c r="F19" s="7"/>
      <c r="I19" s="7"/>
      <c r="J19" s="7"/>
      <c r="K19" s="67"/>
      <c r="L19" s="7"/>
      <c r="M19" s="7"/>
      <c r="N19" s="7"/>
      <c r="O19" s="7"/>
      <c r="P19" s="7"/>
      <c r="Q19" s="7"/>
    </row>
    <row r="20">
      <c r="A20" s="7"/>
      <c r="B20" s="68"/>
      <c r="C20" s="7"/>
      <c r="D20" s="7"/>
      <c r="E20" s="7"/>
      <c r="F20" s="7"/>
      <c r="I20" s="7"/>
      <c r="J20" s="7"/>
      <c r="K20" s="67"/>
      <c r="L20" s="7"/>
      <c r="M20" s="7"/>
      <c r="N20" s="7"/>
      <c r="O20" s="7"/>
      <c r="P20" s="7"/>
      <c r="Q20" s="7"/>
    </row>
    <row r="21">
      <c r="B21" s="69"/>
      <c r="E21" s="70" t="s">
        <v>22</v>
      </c>
      <c r="F21" s="2"/>
      <c r="K21" s="71"/>
    </row>
    <row r="22">
      <c r="B22" s="69"/>
      <c r="E22" s="11" t="s">
        <v>23</v>
      </c>
      <c r="F22" s="2"/>
      <c r="K22" s="71"/>
    </row>
    <row r="23">
      <c r="B23" s="69"/>
      <c r="E23" s="18" t="s">
        <v>24</v>
      </c>
      <c r="F23" s="72">
        <v>19.9</v>
      </c>
      <c r="H23" s="73"/>
      <c r="I23" s="73"/>
      <c r="K23" s="71"/>
    </row>
    <row r="24">
      <c r="B24" s="69"/>
      <c r="E24" s="26" t="s">
        <v>25</v>
      </c>
      <c r="F24" s="74">
        <v>21.9</v>
      </c>
      <c r="H24" s="73"/>
      <c r="I24" s="73"/>
      <c r="K24" s="71"/>
    </row>
    <row r="25">
      <c r="B25" s="69"/>
      <c r="E25" s="32" t="s">
        <v>26</v>
      </c>
      <c r="F25" s="75">
        <v>27.99</v>
      </c>
      <c r="H25" s="73"/>
      <c r="I25" s="73"/>
      <c r="K25" s="71"/>
    </row>
    <row r="26">
      <c r="B26" s="69"/>
      <c r="E26" s="26" t="s">
        <v>27</v>
      </c>
      <c r="F26" s="74">
        <v>15.0</v>
      </c>
      <c r="H26" s="73"/>
      <c r="I26" s="73"/>
      <c r="K26" s="71"/>
    </row>
    <row r="27">
      <c r="B27" s="69"/>
      <c r="E27" s="32"/>
      <c r="F27" s="75"/>
      <c r="H27" s="73"/>
      <c r="I27" s="73"/>
      <c r="K27" s="71"/>
    </row>
    <row r="28">
      <c r="B28" s="69"/>
      <c r="E28" s="26"/>
      <c r="F28" s="74"/>
      <c r="K28" s="71"/>
    </row>
    <row r="29">
      <c r="B29" s="69"/>
      <c r="E29" s="32"/>
      <c r="F29" s="76"/>
      <c r="K29" s="71"/>
    </row>
    <row r="30">
      <c r="B30" s="69"/>
      <c r="E30" s="26"/>
      <c r="F30" s="77"/>
      <c r="K30" s="71"/>
    </row>
    <row r="31">
      <c r="B31" s="69"/>
      <c r="E31" s="32"/>
      <c r="F31" s="76"/>
      <c r="K31" s="71"/>
    </row>
    <row r="32">
      <c r="B32" s="69"/>
      <c r="E32" s="26"/>
      <c r="F32" s="26"/>
      <c r="K32" s="71"/>
    </row>
    <row r="33">
      <c r="B33" s="69"/>
      <c r="E33" s="32"/>
      <c r="F33" s="76"/>
      <c r="K33" s="71"/>
    </row>
    <row r="34">
      <c r="B34" s="69"/>
      <c r="E34" s="78" t="s">
        <v>28</v>
      </c>
      <c r="F34" s="79">
        <f>SUM(F23:F27)</f>
        <v>84.79</v>
      </c>
      <c r="K34" s="71"/>
    </row>
    <row r="35">
      <c r="B35" s="69"/>
      <c r="K35" s="71"/>
    </row>
    <row r="36">
      <c r="B36" s="69"/>
      <c r="K36" s="71"/>
    </row>
    <row r="37">
      <c r="B37" s="69"/>
      <c r="K37" s="71"/>
    </row>
    <row r="38">
      <c r="B38" s="69"/>
      <c r="K38" s="71"/>
    </row>
    <row r="39">
      <c r="B39" s="69"/>
      <c r="K39" s="71"/>
    </row>
    <row r="40">
      <c r="B40" s="69"/>
      <c r="K40" s="71"/>
    </row>
    <row r="41">
      <c r="B41" s="69"/>
      <c r="K41" s="71"/>
    </row>
    <row r="42">
      <c r="B42" s="69"/>
      <c r="K42" s="71"/>
    </row>
    <row r="43">
      <c r="B43" s="69"/>
      <c r="K43" s="71"/>
    </row>
    <row r="44">
      <c r="B44" s="69"/>
      <c r="K44" s="71"/>
    </row>
    <row r="45">
      <c r="B45" s="69"/>
      <c r="K45" s="71"/>
    </row>
    <row r="46">
      <c r="B46" s="69"/>
      <c r="K46" s="71"/>
    </row>
    <row r="47">
      <c r="B47" s="69"/>
      <c r="K47" s="71"/>
    </row>
    <row r="48">
      <c r="B48" s="69"/>
      <c r="K48" s="71"/>
    </row>
    <row r="49">
      <c r="B49" s="69"/>
      <c r="K49" s="71"/>
    </row>
    <row r="50">
      <c r="B50" s="69"/>
      <c r="K50" s="71"/>
    </row>
    <row r="51">
      <c r="B51" s="69"/>
      <c r="K51" s="71"/>
    </row>
    <row r="52">
      <c r="B52" s="69"/>
      <c r="K52" s="71"/>
    </row>
    <row r="53">
      <c r="B53" s="69"/>
      <c r="K53" s="71"/>
    </row>
    <row r="54">
      <c r="B54" s="69"/>
      <c r="K54" s="71"/>
    </row>
    <row r="55">
      <c r="B55" s="69"/>
      <c r="K55" s="71"/>
    </row>
    <row r="56">
      <c r="B56" s="69"/>
      <c r="K56" s="71"/>
    </row>
    <row r="57">
      <c r="B57" s="69"/>
      <c r="K57" s="71"/>
    </row>
    <row r="58">
      <c r="B58" s="69"/>
      <c r="K58" s="71"/>
    </row>
    <row r="59">
      <c r="B59" s="69"/>
      <c r="K59" s="71"/>
    </row>
    <row r="60">
      <c r="B60" s="69"/>
      <c r="K60" s="71"/>
    </row>
    <row r="61">
      <c r="B61" s="69"/>
      <c r="K61" s="71"/>
    </row>
    <row r="62">
      <c r="B62" s="69"/>
      <c r="K62" s="71"/>
    </row>
    <row r="63">
      <c r="B63" s="69"/>
      <c r="K63" s="71"/>
    </row>
    <row r="64">
      <c r="B64" s="69"/>
      <c r="K64" s="71"/>
    </row>
    <row r="65">
      <c r="B65" s="69"/>
      <c r="K65" s="71"/>
    </row>
    <row r="66">
      <c r="B66" s="69"/>
      <c r="K66" s="71"/>
    </row>
    <row r="67">
      <c r="B67" s="69"/>
      <c r="K67" s="71"/>
    </row>
    <row r="68">
      <c r="B68" s="69"/>
      <c r="K68" s="71"/>
    </row>
    <row r="69">
      <c r="B69" s="69"/>
      <c r="K69" s="71"/>
    </row>
    <row r="70">
      <c r="B70" s="69"/>
      <c r="K70" s="71"/>
    </row>
    <row r="71">
      <c r="B71" s="69"/>
      <c r="K71" s="71"/>
    </row>
    <row r="72">
      <c r="B72" s="69"/>
      <c r="K72" s="71"/>
    </row>
    <row r="73">
      <c r="B73" s="69"/>
      <c r="K73" s="71"/>
    </row>
    <row r="74">
      <c r="B74" s="69"/>
      <c r="K74" s="71"/>
    </row>
    <row r="75">
      <c r="B75" s="69"/>
      <c r="K75" s="71"/>
    </row>
    <row r="76">
      <c r="B76" s="69"/>
      <c r="K76" s="71"/>
    </row>
    <row r="77">
      <c r="B77" s="69"/>
      <c r="K77" s="71"/>
    </row>
    <row r="78">
      <c r="B78" s="69"/>
      <c r="K78" s="71"/>
    </row>
    <row r="79">
      <c r="B79" s="69"/>
      <c r="K79" s="71"/>
    </row>
    <row r="80">
      <c r="B80" s="69"/>
      <c r="K80" s="71"/>
    </row>
    <row r="81">
      <c r="B81" s="69"/>
      <c r="K81" s="71"/>
    </row>
    <row r="82">
      <c r="B82" s="69"/>
      <c r="K82" s="71"/>
    </row>
    <row r="83">
      <c r="B83" s="69"/>
      <c r="K83" s="71"/>
    </row>
    <row r="84">
      <c r="B84" s="69"/>
      <c r="K84" s="71"/>
    </row>
    <row r="85">
      <c r="B85" s="69"/>
      <c r="K85" s="71"/>
    </row>
    <row r="86">
      <c r="B86" s="69"/>
      <c r="K86" s="71"/>
    </row>
    <row r="87">
      <c r="B87" s="69"/>
      <c r="K87" s="71"/>
    </row>
    <row r="88">
      <c r="B88" s="69"/>
      <c r="K88" s="71"/>
    </row>
    <row r="89">
      <c r="B89" s="69"/>
      <c r="K89" s="71"/>
    </row>
    <row r="90">
      <c r="B90" s="69"/>
      <c r="K90" s="71"/>
    </row>
    <row r="91">
      <c r="B91" s="69"/>
      <c r="K91" s="71"/>
    </row>
    <row r="92">
      <c r="B92" s="69"/>
      <c r="K92" s="71"/>
    </row>
    <row r="93">
      <c r="B93" s="69"/>
      <c r="K93" s="71"/>
    </row>
    <row r="94">
      <c r="B94" s="69"/>
      <c r="K94" s="71"/>
    </row>
    <row r="95">
      <c r="B95" s="69"/>
      <c r="K95" s="71"/>
    </row>
    <row r="96">
      <c r="B96" s="69"/>
      <c r="K96" s="71"/>
    </row>
    <row r="97">
      <c r="B97" s="69"/>
      <c r="K97" s="71"/>
    </row>
    <row r="98">
      <c r="B98" s="69"/>
      <c r="K98" s="71"/>
    </row>
    <row r="99">
      <c r="B99" s="69"/>
      <c r="K99" s="71"/>
    </row>
    <row r="100">
      <c r="B100" s="69"/>
      <c r="K100" s="71"/>
    </row>
    <row r="101">
      <c r="B101" s="69"/>
      <c r="K101" s="71"/>
    </row>
    <row r="102">
      <c r="B102" s="69"/>
      <c r="K102" s="71"/>
    </row>
    <row r="103">
      <c r="B103" s="69"/>
      <c r="K103" s="71"/>
    </row>
    <row r="104">
      <c r="B104" s="69"/>
      <c r="K104" s="71"/>
    </row>
    <row r="105">
      <c r="B105" s="69"/>
      <c r="K105" s="71"/>
    </row>
    <row r="106">
      <c r="B106" s="69"/>
      <c r="K106" s="71"/>
    </row>
    <row r="107">
      <c r="B107" s="69"/>
      <c r="K107" s="71"/>
    </row>
    <row r="108">
      <c r="B108" s="69"/>
      <c r="K108" s="71"/>
    </row>
    <row r="109">
      <c r="B109" s="69"/>
      <c r="K109" s="71"/>
    </row>
    <row r="110">
      <c r="B110" s="69"/>
      <c r="K110" s="71"/>
    </row>
    <row r="111">
      <c r="B111" s="69"/>
      <c r="K111" s="71"/>
    </row>
    <row r="112">
      <c r="B112" s="69"/>
      <c r="K112" s="71"/>
    </row>
    <row r="113">
      <c r="B113" s="69"/>
      <c r="K113" s="71"/>
    </row>
    <row r="114">
      <c r="B114" s="69"/>
      <c r="K114" s="71"/>
    </row>
    <row r="115">
      <c r="B115" s="69"/>
      <c r="K115" s="71"/>
    </row>
    <row r="116">
      <c r="B116" s="69"/>
      <c r="K116" s="71"/>
    </row>
    <row r="117">
      <c r="B117" s="69"/>
      <c r="K117" s="71"/>
    </row>
    <row r="118">
      <c r="B118" s="69"/>
      <c r="K118" s="71"/>
    </row>
    <row r="119">
      <c r="B119" s="69"/>
      <c r="K119" s="71"/>
    </row>
    <row r="120">
      <c r="B120" s="69"/>
      <c r="K120" s="71"/>
    </row>
    <row r="121">
      <c r="B121" s="69"/>
      <c r="K121" s="71"/>
    </row>
    <row r="122">
      <c r="B122" s="69"/>
      <c r="K122" s="71"/>
    </row>
    <row r="123">
      <c r="B123" s="69"/>
      <c r="K123" s="71"/>
    </row>
    <row r="124">
      <c r="B124" s="69"/>
      <c r="K124" s="71"/>
    </row>
    <row r="125">
      <c r="B125" s="69"/>
      <c r="K125" s="71"/>
    </row>
    <row r="126">
      <c r="B126" s="69"/>
      <c r="K126" s="71"/>
    </row>
    <row r="127">
      <c r="B127" s="69"/>
      <c r="K127" s="71"/>
    </row>
    <row r="128">
      <c r="B128" s="69"/>
      <c r="K128" s="71"/>
    </row>
    <row r="129">
      <c r="B129" s="69"/>
      <c r="K129" s="71"/>
    </row>
    <row r="130">
      <c r="B130" s="69"/>
      <c r="K130" s="71"/>
    </row>
    <row r="131">
      <c r="B131" s="69"/>
      <c r="K131" s="71"/>
    </row>
    <row r="132">
      <c r="B132" s="69"/>
      <c r="K132" s="71"/>
    </row>
    <row r="133">
      <c r="B133" s="69"/>
      <c r="K133" s="71"/>
    </row>
    <row r="134">
      <c r="B134" s="69"/>
      <c r="K134" s="71"/>
    </row>
    <row r="135">
      <c r="B135" s="69"/>
      <c r="K135" s="71"/>
    </row>
    <row r="136">
      <c r="B136" s="69"/>
      <c r="K136" s="71"/>
    </row>
    <row r="137">
      <c r="B137" s="69"/>
      <c r="K137" s="71"/>
    </row>
    <row r="138">
      <c r="B138" s="69"/>
      <c r="K138" s="71"/>
    </row>
    <row r="139">
      <c r="B139" s="69"/>
      <c r="K139" s="71"/>
    </row>
    <row r="140">
      <c r="B140" s="69"/>
      <c r="K140" s="71"/>
    </row>
    <row r="141">
      <c r="B141" s="69"/>
      <c r="K141" s="71"/>
    </row>
    <row r="142">
      <c r="B142" s="69"/>
      <c r="K142" s="71"/>
    </row>
    <row r="143">
      <c r="B143" s="69"/>
      <c r="K143" s="71"/>
    </row>
    <row r="144">
      <c r="B144" s="69"/>
      <c r="K144" s="71"/>
    </row>
    <row r="145">
      <c r="B145" s="69"/>
      <c r="K145" s="71"/>
    </row>
    <row r="146">
      <c r="B146" s="69"/>
      <c r="K146" s="71"/>
    </row>
    <row r="147">
      <c r="B147" s="69"/>
      <c r="K147" s="71"/>
    </row>
    <row r="148">
      <c r="B148" s="69"/>
      <c r="K148" s="71"/>
    </row>
    <row r="149">
      <c r="B149" s="69"/>
      <c r="K149" s="71"/>
    </row>
    <row r="150">
      <c r="B150" s="69"/>
      <c r="K150" s="71"/>
    </row>
    <row r="151">
      <c r="B151" s="69"/>
      <c r="K151" s="71"/>
    </row>
    <row r="152">
      <c r="B152" s="69"/>
      <c r="K152" s="71"/>
    </row>
    <row r="153">
      <c r="B153" s="69"/>
      <c r="K153" s="71"/>
    </row>
    <row r="154">
      <c r="B154" s="69"/>
      <c r="K154" s="71"/>
    </row>
    <row r="155">
      <c r="B155" s="69"/>
      <c r="K155" s="71"/>
    </row>
    <row r="156">
      <c r="B156" s="69"/>
      <c r="K156" s="71"/>
    </row>
    <row r="157">
      <c r="B157" s="69"/>
      <c r="K157" s="71"/>
    </row>
    <row r="158">
      <c r="B158" s="69"/>
      <c r="K158" s="71"/>
    </row>
    <row r="159">
      <c r="B159" s="69"/>
      <c r="K159" s="71"/>
    </row>
    <row r="160">
      <c r="B160" s="69"/>
      <c r="K160" s="71"/>
    </row>
    <row r="161">
      <c r="B161" s="69"/>
      <c r="K161" s="71"/>
    </row>
    <row r="162">
      <c r="B162" s="69"/>
      <c r="K162" s="71"/>
    </row>
    <row r="163">
      <c r="B163" s="69"/>
      <c r="K163" s="71"/>
    </row>
    <row r="164">
      <c r="B164" s="69"/>
      <c r="K164" s="71"/>
    </row>
    <row r="165">
      <c r="B165" s="69"/>
      <c r="K165" s="71"/>
    </row>
    <row r="166">
      <c r="B166" s="69"/>
      <c r="K166" s="71"/>
    </row>
    <row r="167">
      <c r="B167" s="69"/>
      <c r="K167" s="71"/>
    </row>
    <row r="168">
      <c r="B168" s="69"/>
      <c r="K168" s="71"/>
    </row>
    <row r="169">
      <c r="B169" s="69"/>
      <c r="K169" s="71"/>
    </row>
    <row r="170">
      <c r="B170" s="69"/>
      <c r="K170" s="71"/>
    </row>
    <row r="171">
      <c r="B171" s="69"/>
      <c r="K171" s="71"/>
    </row>
    <row r="172">
      <c r="B172" s="69"/>
      <c r="K172" s="71"/>
    </row>
    <row r="173">
      <c r="B173" s="69"/>
      <c r="K173" s="71"/>
    </row>
    <row r="174">
      <c r="B174" s="69"/>
      <c r="K174" s="71"/>
    </row>
    <row r="175">
      <c r="B175" s="69"/>
      <c r="K175" s="71"/>
    </row>
    <row r="176">
      <c r="B176" s="69"/>
      <c r="K176" s="71"/>
    </row>
    <row r="177">
      <c r="B177" s="69"/>
      <c r="K177" s="71"/>
    </row>
    <row r="178">
      <c r="B178" s="69"/>
      <c r="K178" s="71"/>
    </row>
    <row r="179">
      <c r="B179" s="69"/>
      <c r="K179" s="71"/>
    </row>
    <row r="180">
      <c r="B180" s="69"/>
      <c r="K180" s="71"/>
    </row>
    <row r="181">
      <c r="B181" s="69"/>
      <c r="K181" s="71"/>
    </row>
    <row r="182">
      <c r="B182" s="69"/>
      <c r="K182" s="71"/>
    </row>
    <row r="183">
      <c r="B183" s="69"/>
      <c r="K183" s="71"/>
    </row>
    <row r="184">
      <c r="B184" s="69"/>
      <c r="K184" s="71"/>
    </row>
    <row r="185">
      <c r="B185" s="69"/>
      <c r="K185" s="71"/>
    </row>
    <row r="186">
      <c r="B186" s="69"/>
      <c r="K186" s="71"/>
    </row>
    <row r="187">
      <c r="B187" s="69"/>
      <c r="K187" s="71"/>
    </row>
    <row r="188">
      <c r="B188" s="69"/>
      <c r="K188" s="71"/>
    </row>
    <row r="189">
      <c r="B189" s="69"/>
      <c r="K189" s="71"/>
    </row>
    <row r="190">
      <c r="B190" s="69"/>
      <c r="K190" s="71"/>
    </row>
    <row r="191">
      <c r="B191" s="69"/>
      <c r="K191" s="71"/>
    </row>
    <row r="192">
      <c r="B192" s="69"/>
      <c r="K192" s="71"/>
    </row>
    <row r="193">
      <c r="B193" s="69"/>
      <c r="K193" s="71"/>
    </row>
    <row r="194">
      <c r="B194" s="69"/>
      <c r="K194" s="71"/>
    </row>
    <row r="195">
      <c r="B195" s="69"/>
      <c r="K195" s="71"/>
    </row>
    <row r="196">
      <c r="B196" s="69"/>
      <c r="K196" s="71"/>
    </row>
    <row r="197">
      <c r="B197" s="69"/>
      <c r="K197" s="71"/>
    </row>
    <row r="198">
      <c r="B198" s="69"/>
      <c r="K198" s="71"/>
    </row>
    <row r="199">
      <c r="B199" s="69"/>
      <c r="K199" s="71"/>
    </row>
    <row r="200">
      <c r="B200" s="69"/>
      <c r="K200" s="71"/>
    </row>
    <row r="201">
      <c r="B201" s="69"/>
      <c r="K201" s="71"/>
    </row>
    <row r="202">
      <c r="B202" s="69"/>
      <c r="K202" s="71"/>
    </row>
    <row r="203">
      <c r="B203" s="69"/>
      <c r="K203" s="71"/>
    </row>
    <row r="204">
      <c r="B204" s="69"/>
      <c r="K204" s="71"/>
    </row>
    <row r="205">
      <c r="B205" s="69"/>
      <c r="K205" s="71"/>
    </row>
    <row r="206">
      <c r="B206" s="69"/>
      <c r="K206" s="71"/>
    </row>
    <row r="207">
      <c r="B207" s="69"/>
      <c r="K207" s="71"/>
    </row>
    <row r="208">
      <c r="B208" s="69"/>
      <c r="K208" s="71"/>
    </row>
    <row r="209">
      <c r="B209" s="69"/>
      <c r="K209" s="71"/>
    </row>
    <row r="210">
      <c r="B210" s="69"/>
      <c r="K210" s="71"/>
    </row>
    <row r="211">
      <c r="B211" s="69"/>
      <c r="K211" s="71"/>
    </row>
    <row r="212">
      <c r="B212" s="69"/>
      <c r="K212" s="71"/>
    </row>
    <row r="213">
      <c r="B213" s="69"/>
      <c r="K213" s="71"/>
    </row>
    <row r="214">
      <c r="B214" s="69"/>
      <c r="K214" s="71"/>
    </row>
    <row r="215">
      <c r="B215" s="69"/>
      <c r="K215" s="71"/>
    </row>
    <row r="216">
      <c r="B216" s="69"/>
      <c r="K216" s="71"/>
    </row>
    <row r="217">
      <c r="B217" s="69"/>
      <c r="K217" s="71"/>
    </row>
    <row r="218">
      <c r="B218" s="69"/>
      <c r="K218" s="71"/>
    </row>
    <row r="219">
      <c r="B219" s="69"/>
      <c r="K219" s="71"/>
    </row>
    <row r="220">
      <c r="B220" s="69"/>
      <c r="K220" s="71"/>
    </row>
    <row r="221">
      <c r="B221" s="69"/>
      <c r="K221" s="71"/>
    </row>
    <row r="222">
      <c r="B222" s="69"/>
      <c r="K222" s="71"/>
    </row>
    <row r="223">
      <c r="B223" s="69"/>
      <c r="K223" s="71"/>
    </row>
    <row r="224">
      <c r="B224" s="69"/>
      <c r="K224" s="71"/>
    </row>
    <row r="225">
      <c r="B225" s="69"/>
      <c r="K225" s="71"/>
    </row>
    <row r="226">
      <c r="B226" s="69"/>
      <c r="K226" s="71"/>
    </row>
    <row r="227">
      <c r="B227" s="69"/>
      <c r="K227" s="71"/>
    </row>
    <row r="228">
      <c r="B228" s="69"/>
      <c r="K228" s="71"/>
    </row>
    <row r="229">
      <c r="B229" s="69"/>
      <c r="K229" s="71"/>
    </row>
    <row r="230">
      <c r="B230" s="69"/>
      <c r="K230" s="71"/>
    </row>
    <row r="231">
      <c r="B231" s="69"/>
      <c r="K231" s="71"/>
    </row>
    <row r="232">
      <c r="B232" s="69"/>
      <c r="K232" s="71"/>
    </row>
    <row r="233">
      <c r="B233" s="69"/>
      <c r="K233" s="71"/>
    </row>
    <row r="234">
      <c r="B234" s="69"/>
      <c r="K234" s="71"/>
    </row>
    <row r="235">
      <c r="B235" s="69"/>
      <c r="K235" s="71"/>
    </row>
    <row r="236">
      <c r="B236" s="69"/>
      <c r="K236" s="71"/>
    </row>
    <row r="237">
      <c r="B237" s="69"/>
      <c r="K237" s="71"/>
    </row>
    <row r="238">
      <c r="B238" s="69"/>
      <c r="K238" s="71"/>
    </row>
    <row r="239">
      <c r="B239" s="69"/>
      <c r="K239" s="71"/>
    </row>
    <row r="240">
      <c r="B240" s="69"/>
      <c r="K240" s="71"/>
    </row>
    <row r="241">
      <c r="B241" s="69"/>
      <c r="K241" s="71"/>
    </row>
    <row r="242">
      <c r="B242" s="69"/>
      <c r="K242" s="71"/>
    </row>
    <row r="243">
      <c r="B243" s="69"/>
      <c r="K243" s="71"/>
    </row>
    <row r="244">
      <c r="B244" s="69"/>
      <c r="K244" s="71"/>
    </row>
    <row r="245">
      <c r="B245" s="69"/>
      <c r="K245" s="71"/>
    </row>
    <row r="246">
      <c r="B246" s="69"/>
      <c r="K246" s="71"/>
    </row>
    <row r="247">
      <c r="B247" s="69"/>
      <c r="K247" s="71"/>
    </row>
    <row r="248">
      <c r="B248" s="69"/>
      <c r="K248" s="71"/>
    </row>
    <row r="249">
      <c r="B249" s="69"/>
      <c r="K249" s="71"/>
    </row>
    <row r="250">
      <c r="B250" s="69"/>
      <c r="K250" s="71"/>
    </row>
    <row r="251">
      <c r="B251" s="69"/>
      <c r="K251" s="71"/>
    </row>
    <row r="252">
      <c r="B252" s="69"/>
      <c r="K252" s="71"/>
    </row>
    <row r="253">
      <c r="B253" s="69"/>
      <c r="K253" s="71"/>
    </row>
    <row r="254">
      <c r="B254" s="69"/>
      <c r="K254" s="71"/>
    </row>
    <row r="255">
      <c r="B255" s="69"/>
      <c r="K255" s="71"/>
    </row>
    <row r="256">
      <c r="B256" s="69"/>
      <c r="K256" s="71"/>
    </row>
    <row r="257">
      <c r="B257" s="69"/>
      <c r="K257" s="71"/>
    </row>
    <row r="258">
      <c r="B258" s="69"/>
      <c r="K258" s="71"/>
    </row>
    <row r="259">
      <c r="B259" s="69"/>
      <c r="K259" s="71"/>
    </row>
    <row r="260">
      <c r="B260" s="69"/>
      <c r="K260" s="71"/>
    </row>
    <row r="261">
      <c r="B261" s="69"/>
      <c r="K261" s="71"/>
    </row>
    <row r="262">
      <c r="B262" s="69"/>
      <c r="K262" s="71"/>
    </row>
    <row r="263">
      <c r="B263" s="69"/>
      <c r="K263" s="71"/>
    </row>
    <row r="264">
      <c r="B264" s="69"/>
      <c r="K264" s="71"/>
    </row>
    <row r="265">
      <c r="B265" s="69"/>
      <c r="K265" s="71"/>
    </row>
    <row r="266">
      <c r="B266" s="69"/>
      <c r="K266" s="71"/>
    </row>
    <row r="267">
      <c r="B267" s="69"/>
      <c r="K267" s="71"/>
    </row>
    <row r="268">
      <c r="B268" s="69"/>
      <c r="K268" s="71"/>
    </row>
    <row r="269">
      <c r="B269" s="69"/>
      <c r="K269" s="71"/>
    </row>
    <row r="270">
      <c r="B270" s="69"/>
      <c r="K270" s="71"/>
    </row>
    <row r="271">
      <c r="B271" s="69"/>
      <c r="K271" s="71"/>
    </row>
    <row r="272">
      <c r="B272" s="69"/>
      <c r="K272" s="71"/>
    </row>
    <row r="273">
      <c r="B273" s="69"/>
      <c r="K273" s="71"/>
    </row>
    <row r="274">
      <c r="B274" s="69"/>
      <c r="K274" s="71"/>
    </row>
    <row r="275">
      <c r="B275" s="69"/>
      <c r="K275" s="71"/>
    </row>
    <row r="276">
      <c r="B276" s="69"/>
      <c r="K276" s="71"/>
    </row>
    <row r="277">
      <c r="B277" s="69"/>
      <c r="K277" s="71"/>
    </row>
    <row r="278">
      <c r="B278" s="69"/>
      <c r="K278" s="71"/>
    </row>
    <row r="279">
      <c r="B279" s="69"/>
      <c r="K279" s="71"/>
    </row>
    <row r="280">
      <c r="B280" s="69"/>
      <c r="K280" s="71"/>
    </row>
    <row r="281">
      <c r="B281" s="69"/>
      <c r="K281" s="71"/>
    </row>
    <row r="282">
      <c r="B282" s="69"/>
      <c r="K282" s="71"/>
    </row>
    <row r="283">
      <c r="B283" s="69"/>
      <c r="K283" s="71"/>
    </row>
    <row r="284">
      <c r="B284" s="69"/>
      <c r="K284" s="71"/>
    </row>
    <row r="285">
      <c r="B285" s="69"/>
      <c r="K285" s="71"/>
    </row>
    <row r="286">
      <c r="B286" s="69"/>
      <c r="K286" s="71"/>
    </row>
    <row r="287">
      <c r="B287" s="69"/>
      <c r="K287" s="71"/>
    </row>
    <row r="288">
      <c r="B288" s="69"/>
      <c r="K288" s="71"/>
    </row>
    <row r="289">
      <c r="B289" s="69"/>
      <c r="K289" s="71"/>
    </row>
    <row r="290">
      <c r="B290" s="69"/>
      <c r="K290" s="71"/>
    </row>
    <row r="291">
      <c r="B291" s="69"/>
      <c r="K291" s="71"/>
    </row>
    <row r="292">
      <c r="B292" s="69"/>
      <c r="K292" s="71"/>
    </row>
    <row r="293">
      <c r="B293" s="69"/>
      <c r="K293" s="71"/>
    </row>
    <row r="294">
      <c r="B294" s="69"/>
      <c r="K294" s="71"/>
    </row>
    <row r="295">
      <c r="B295" s="69"/>
      <c r="K295" s="71"/>
    </row>
    <row r="296">
      <c r="B296" s="69"/>
      <c r="K296" s="71"/>
    </row>
    <row r="297">
      <c r="B297" s="69"/>
      <c r="K297" s="71"/>
    </row>
    <row r="298">
      <c r="B298" s="69"/>
      <c r="K298" s="71"/>
    </row>
    <row r="299">
      <c r="B299" s="69"/>
      <c r="K299" s="71"/>
    </row>
    <row r="300">
      <c r="B300" s="69"/>
      <c r="K300" s="71"/>
    </row>
    <row r="301">
      <c r="B301" s="69"/>
      <c r="K301" s="71"/>
    </row>
    <row r="302">
      <c r="B302" s="69"/>
      <c r="K302" s="71"/>
    </row>
    <row r="303">
      <c r="B303" s="69"/>
      <c r="K303" s="71"/>
    </row>
    <row r="304">
      <c r="B304" s="69"/>
      <c r="K304" s="71"/>
    </row>
    <row r="305">
      <c r="B305" s="69"/>
      <c r="K305" s="71"/>
    </row>
    <row r="306">
      <c r="B306" s="69"/>
      <c r="K306" s="71"/>
    </row>
    <row r="307">
      <c r="B307" s="69"/>
      <c r="K307" s="71"/>
    </row>
    <row r="308">
      <c r="B308" s="69"/>
      <c r="K308" s="71"/>
    </row>
    <row r="309">
      <c r="B309" s="69"/>
      <c r="K309" s="71"/>
    </row>
    <row r="310">
      <c r="B310" s="69"/>
      <c r="K310" s="71"/>
    </row>
    <row r="311">
      <c r="B311" s="69"/>
      <c r="K311" s="71"/>
    </row>
    <row r="312">
      <c r="B312" s="69"/>
      <c r="K312" s="71"/>
    </row>
    <row r="313">
      <c r="B313" s="69"/>
      <c r="K313" s="71"/>
    </row>
    <row r="314">
      <c r="B314" s="69"/>
      <c r="K314" s="71"/>
    </row>
    <row r="315">
      <c r="B315" s="69"/>
      <c r="K315" s="71"/>
    </row>
    <row r="316">
      <c r="B316" s="69"/>
      <c r="K316" s="71"/>
    </row>
    <row r="317">
      <c r="B317" s="69"/>
      <c r="K317" s="71"/>
    </row>
    <row r="318">
      <c r="B318" s="69"/>
      <c r="K318" s="71"/>
    </row>
    <row r="319">
      <c r="B319" s="69"/>
      <c r="K319" s="71"/>
    </row>
    <row r="320">
      <c r="B320" s="69"/>
      <c r="K320" s="71"/>
    </row>
    <row r="321">
      <c r="B321" s="69"/>
      <c r="K321" s="71"/>
    </row>
    <row r="322">
      <c r="B322" s="69"/>
      <c r="K322" s="71"/>
    </row>
    <row r="323">
      <c r="B323" s="69"/>
      <c r="K323" s="71"/>
    </row>
    <row r="324">
      <c r="B324" s="69"/>
      <c r="K324" s="71"/>
    </row>
    <row r="325">
      <c r="B325" s="69"/>
      <c r="K325" s="71"/>
    </row>
    <row r="326">
      <c r="B326" s="69"/>
      <c r="K326" s="71"/>
    </row>
    <row r="327">
      <c r="B327" s="69"/>
      <c r="K327" s="71"/>
    </row>
    <row r="328">
      <c r="B328" s="69"/>
      <c r="K328" s="71"/>
    </row>
    <row r="329">
      <c r="B329" s="69"/>
      <c r="K329" s="71"/>
    </row>
    <row r="330">
      <c r="B330" s="69"/>
      <c r="K330" s="71"/>
    </row>
    <row r="331">
      <c r="B331" s="69"/>
      <c r="K331" s="71"/>
    </row>
    <row r="332">
      <c r="B332" s="69"/>
      <c r="K332" s="71"/>
    </row>
    <row r="333">
      <c r="B333" s="69"/>
      <c r="K333" s="71"/>
    </row>
    <row r="334">
      <c r="B334" s="69"/>
      <c r="K334" s="71"/>
    </row>
    <row r="335">
      <c r="B335" s="69"/>
      <c r="K335" s="71"/>
    </row>
    <row r="336">
      <c r="B336" s="69"/>
      <c r="K336" s="71"/>
    </row>
    <row r="337">
      <c r="B337" s="69"/>
      <c r="K337" s="71"/>
    </row>
    <row r="338">
      <c r="B338" s="69"/>
      <c r="K338" s="71"/>
    </row>
    <row r="339">
      <c r="B339" s="69"/>
      <c r="K339" s="71"/>
    </row>
    <row r="340">
      <c r="B340" s="69"/>
      <c r="K340" s="71"/>
    </row>
    <row r="341">
      <c r="B341" s="69"/>
      <c r="K341" s="71"/>
    </row>
    <row r="342">
      <c r="B342" s="69"/>
      <c r="K342" s="71"/>
    </row>
    <row r="343">
      <c r="B343" s="69"/>
      <c r="K343" s="71"/>
    </row>
    <row r="344">
      <c r="B344" s="69"/>
      <c r="K344" s="71"/>
    </row>
    <row r="345">
      <c r="B345" s="69"/>
      <c r="K345" s="71"/>
    </row>
    <row r="346">
      <c r="B346" s="69"/>
      <c r="K346" s="71"/>
    </row>
    <row r="347">
      <c r="B347" s="69"/>
      <c r="K347" s="71"/>
    </row>
    <row r="348">
      <c r="B348" s="69"/>
      <c r="K348" s="71"/>
    </row>
    <row r="349">
      <c r="B349" s="69"/>
      <c r="K349" s="71"/>
    </row>
    <row r="350">
      <c r="B350" s="69"/>
      <c r="K350" s="71"/>
    </row>
    <row r="351">
      <c r="B351" s="69"/>
      <c r="K351" s="71"/>
    </row>
    <row r="352">
      <c r="B352" s="69"/>
      <c r="K352" s="71"/>
    </row>
    <row r="353">
      <c r="B353" s="69"/>
      <c r="K353" s="71"/>
    </row>
    <row r="354">
      <c r="B354" s="69"/>
      <c r="K354" s="71"/>
    </row>
    <row r="355">
      <c r="B355" s="69"/>
      <c r="K355" s="71"/>
    </row>
    <row r="356">
      <c r="B356" s="69"/>
      <c r="K356" s="71"/>
    </row>
    <row r="357">
      <c r="B357" s="69"/>
      <c r="K357" s="71"/>
    </row>
    <row r="358">
      <c r="B358" s="69"/>
      <c r="K358" s="71"/>
    </row>
    <row r="359">
      <c r="B359" s="69"/>
      <c r="K359" s="71"/>
    </row>
    <row r="360">
      <c r="B360" s="69"/>
      <c r="K360" s="71"/>
    </row>
    <row r="361">
      <c r="B361" s="69"/>
      <c r="K361" s="71"/>
    </row>
    <row r="362">
      <c r="B362" s="69"/>
      <c r="K362" s="71"/>
    </row>
    <row r="363">
      <c r="B363" s="69"/>
      <c r="K363" s="71"/>
    </row>
    <row r="364">
      <c r="B364" s="69"/>
      <c r="K364" s="71"/>
    </row>
    <row r="365">
      <c r="B365" s="69"/>
      <c r="K365" s="71"/>
    </row>
    <row r="366">
      <c r="B366" s="69"/>
      <c r="K366" s="71"/>
    </row>
    <row r="367">
      <c r="B367" s="69"/>
      <c r="K367" s="71"/>
    </row>
    <row r="368">
      <c r="B368" s="69"/>
      <c r="K368" s="71"/>
    </row>
    <row r="369">
      <c r="B369" s="69"/>
      <c r="K369" s="71"/>
    </row>
    <row r="370">
      <c r="B370" s="69"/>
      <c r="K370" s="71"/>
    </row>
    <row r="371">
      <c r="B371" s="69"/>
      <c r="K371" s="71"/>
    </row>
    <row r="372">
      <c r="B372" s="69"/>
      <c r="K372" s="71"/>
    </row>
    <row r="373">
      <c r="B373" s="69"/>
      <c r="K373" s="71"/>
    </row>
    <row r="374">
      <c r="B374" s="69"/>
      <c r="K374" s="71"/>
    </row>
    <row r="375">
      <c r="B375" s="69"/>
      <c r="K375" s="71"/>
    </row>
    <row r="376">
      <c r="B376" s="69"/>
      <c r="K376" s="71"/>
    </row>
    <row r="377">
      <c r="B377" s="69"/>
      <c r="K377" s="71"/>
    </row>
    <row r="378">
      <c r="B378" s="69"/>
      <c r="K378" s="71"/>
    </row>
    <row r="379">
      <c r="B379" s="69"/>
      <c r="K379" s="71"/>
    </row>
    <row r="380">
      <c r="B380" s="69"/>
      <c r="K380" s="71"/>
    </row>
    <row r="381">
      <c r="B381" s="69"/>
      <c r="K381" s="71"/>
    </row>
    <row r="382">
      <c r="B382" s="69"/>
      <c r="K382" s="71"/>
    </row>
    <row r="383">
      <c r="B383" s="69"/>
      <c r="K383" s="71"/>
    </row>
    <row r="384">
      <c r="B384" s="69"/>
      <c r="K384" s="71"/>
    </row>
    <row r="385">
      <c r="B385" s="69"/>
      <c r="K385" s="71"/>
    </row>
    <row r="386">
      <c r="B386" s="69"/>
      <c r="K386" s="71"/>
    </row>
    <row r="387">
      <c r="B387" s="69"/>
      <c r="K387" s="71"/>
    </row>
    <row r="388">
      <c r="B388" s="69"/>
      <c r="K388" s="71"/>
    </row>
    <row r="389">
      <c r="B389" s="69"/>
      <c r="K389" s="71"/>
    </row>
    <row r="390">
      <c r="B390" s="69"/>
      <c r="K390" s="71"/>
    </row>
    <row r="391">
      <c r="B391" s="69"/>
      <c r="K391" s="71"/>
    </row>
    <row r="392">
      <c r="B392" s="69"/>
      <c r="K392" s="71"/>
    </row>
    <row r="393">
      <c r="B393" s="69"/>
      <c r="K393" s="71"/>
    </row>
    <row r="394">
      <c r="B394" s="69"/>
      <c r="K394" s="71"/>
    </row>
    <row r="395">
      <c r="B395" s="69"/>
      <c r="K395" s="71"/>
    </row>
    <row r="396">
      <c r="B396" s="69"/>
      <c r="K396" s="71"/>
    </row>
    <row r="397">
      <c r="B397" s="69"/>
      <c r="K397" s="71"/>
    </row>
    <row r="398">
      <c r="B398" s="69"/>
      <c r="K398" s="71"/>
    </row>
    <row r="399">
      <c r="B399" s="69"/>
      <c r="K399" s="71"/>
    </row>
    <row r="400">
      <c r="B400" s="69"/>
      <c r="K400" s="71"/>
    </row>
    <row r="401">
      <c r="B401" s="69"/>
      <c r="K401" s="71"/>
    </row>
    <row r="402">
      <c r="B402" s="69"/>
      <c r="K402" s="71"/>
    </row>
    <row r="403">
      <c r="B403" s="69"/>
      <c r="K403" s="71"/>
    </row>
    <row r="404">
      <c r="B404" s="69"/>
      <c r="K404" s="71"/>
    </row>
    <row r="405">
      <c r="B405" s="69"/>
      <c r="K405" s="71"/>
    </row>
    <row r="406">
      <c r="B406" s="69"/>
      <c r="K406" s="71"/>
    </row>
    <row r="407">
      <c r="B407" s="69"/>
      <c r="K407" s="71"/>
    </row>
    <row r="408">
      <c r="B408" s="69"/>
      <c r="K408" s="71"/>
    </row>
    <row r="409">
      <c r="B409" s="69"/>
      <c r="K409" s="71"/>
    </row>
    <row r="410">
      <c r="B410" s="69"/>
      <c r="K410" s="71"/>
    </row>
    <row r="411">
      <c r="B411" s="69"/>
      <c r="K411" s="71"/>
    </row>
    <row r="412">
      <c r="B412" s="69"/>
      <c r="K412" s="71"/>
    </row>
    <row r="413">
      <c r="B413" s="69"/>
      <c r="K413" s="71"/>
    </row>
    <row r="414">
      <c r="B414" s="69"/>
      <c r="K414" s="71"/>
    </row>
    <row r="415">
      <c r="B415" s="69"/>
      <c r="K415" s="71"/>
    </row>
    <row r="416">
      <c r="B416" s="69"/>
      <c r="K416" s="71"/>
    </row>
    <row r="417">
      <c r="B417" s="69"/>
      <c r="K417" s="71"/>
    </row>
    <row r="418">
      <c r="B418" s="69"/>
      <c r="K418" s="71"/>
    </row>
    <row r="419">
      <c r="B419" s="69"/>
      <c r="K419" s="71"/>
    </row>
    <row r="420">
      <c r="B420" s="69"/>
      <c r="K420" s="71"/>
    </row>
    <row r="421">
      <c r="B421" s="69"/>
      <c r="K421" s="71"/>
    </row>
    <row r="422">
      <c r="B422" s="69"/>
      <c r="K422" s="71"/>
    </row>
    <row r="423">
      <c r="B423" s="69"/>
      <c r="K423" s="71"/>
    </row>
    <row r="424">
      <c r="B424" s="69"/>
      <c r="K424" s="71"/>
    </row>
    <row r="425">
      <c r="B425" s="69"/>
      <c r="K425" s="71"/>
    </row>
    <row r="426">
      <c r="B426" s="69"/>
      <c r="K426" s="71"/>
    </row>
    <row r="427">
      <c r="B427" s="69"/>
      <c r="K427" s="71"/>
    </row>
    <row r="428">
      <c r="B428" s="69"/>
      <c r="K428" s="71"/>
    </row>
    <row r="429">
      <c r="B429" s="69"/>
      <c r="K429" s="71"/>
    </row>
    <row r="430">
      <c r="B430" s="69"/>
      <c r="K430" s="71"/>
    </row>
    <row r="431">
      <c r="B431" s="69"/>
      <c r="K431" s="71"/>
    </row>
    <row r="432">
      <c r="B432" s="69"/>
      <c r="K432" s="71"/>
    </row>
    <row r="433">
      <c r="B433" s="69"/>
      <c r="K433" s="71"/>
    </row>
    <row r="434">
      <c r="B434" s="69"/>
      <c r="K434" s="71"/>
    </row>
    <row r="435">
      <c r="B435" s="69"/>
      <c r="K435" s="71"/>
    </row>
    <row r="436">
      <c r="B436" s="69"/>
      <c r="K436" s="71"/>
    </row>
    <row r="437">
      <c r="B437" s="69"/>
      <c r="K437" s="71"/>
    </row>
    <row r="438">
      <c r="B438" s="69"/>
      <c r="K438" s="71"/>
    </row>
    <row r="439">
      <c r="B439" s="69"/>
      <c r="K439" s="71"/>
    </row>
    <row r="440">
      <c r="B440" s="69"/>
      <c r="K440" s="71"/>
    </row>
    <row r="441">
      <c r="B441" s="69"/>
      <c r="K441" s="71"/>
    </row>
    <row r="442">
      <c r="B442" s="69"/>
      <c r="K442" s="71"/>
    </row>
    <row r="443">
      <c r="B443" s="69"/>
      <c r="K443" s="71"/>
    </row>
    <row r="444">
      <c r="B444" s="69"/>
      <c r="K444" s="71"/>
    </row>
    <row r="445">
      <c r="B445" s="69"/>
      <c r="K445" s="71"/>
    </row>
    <row r="446">
      <c r="B446" s="69"/>
      <c r="K446" s="71"/>
    </row>
    <row r="447">
      <c r="B447" s="69"/>
      <c r="K447" s="71"/>
    </row>
    <row r="448">
      <c r="B448" s="69"/>
      <c r="K448" s="71"/>
    </row>
    <row r="449">
      <c r="B449" s="69"/>
      <c r="K449" s="71"/>
    </row>
    <row r="450">
      <c r="B450" s="69"/>
      <c r="K450" s="71"/>
    </row>
    <row r="451">
      <c r="B451" s="69"/>
      <c r="K451" s="71"/>
    </row>
    <row r="452">
      <c r="B452" s="69"/>
      <c r="K452" s="71"/>
    </row>
    <row r="453">
      <c r="B453" s="69"/>
      <c r="K453" s="71"/>
    </row>
    <row r="454">
      <c r="B454" s="69"/>
      <c r="K454" s="71"/>
    </row>
    <row r="455">
      <c r="B455" s="69"/>
      <c r="K455" s="71"/>
    </row>
    <row r="456">
      <c r="B456" s="69"/>
      <c r="K456" s="71"/>
    </row>
    <row r="457">
      <c r="B457" s="69"/>
      <c r="K457" s="71"/>
    </row>
    <row r="458">
      <c r="B458" s="69"/>
      <c r="K458" s="71"/>
    </row>
    <row r="459">
      <c r="B459" s="69"/>
      <c r="K459" s="71"/>
    </row>
    <row r="460">
      <c r="B460" s="69"/>
      <c r="K460" s="71"/>
    </row>
    <row r="461">
      <c r="B461" s="69"/>
      <c r="K461" s="71"/>
    </row>
    <row r="462">
      <c r="B462" s="69"/>
      <c r="K462" s="71"/>
    </row>
    <row r="463">
      <c r="B463" s="69"/>
      <c r="K463" s="71"/>
    </row>
    <row r="464">
      <c r="B464" s="69"/>
      <c r="K464" s="71"/>
    </row>
    <row r="465">
      <c r="B465" s="69"/>
      <c r="K465" s="71"/>
    </row>
    <row r="466">
      <c r="B466" s="69"/>
      <c r="K466" s="71"/>
    </row>
    <row r="467">
      <c r="B467" s="69"/>
      <c r="K467" s="71"/>
    </row>
    <row r="468">
      <c r="B468" s="69"/>
      <c r="K468" s="71"/>
    </row>
    <row r="469">
      <c r="B469" s="69"/>
      <c r="K469" s="71"/>
    </row>
    <row r="470">
      <c r="B470" s="69"/>
      <c r="K470" s="71"/>
    </row>
    <row r="471">
      <c r="B471" s="69"/>
      <c r="K471" s="71"/>
    </row>
    <row r="472">
      <c r="B472" s="69"/>
      <c r="K472" s="71"/>
    </row>
    <row r="473">
      <c r="B473" s="69"/>
      <c r="K473" s="71"/>
    </row>
    <row r="474">
      <c r="B474" s="69"/>
      <c r="K474" s="71"/>
    </row>
    <row r="475">
      <c r="B475" s="69"/>
      <c r="K475" s="71"/>
    </row>
    <row r="476">
      <c r="B476" s="69"/>
      <c r="K476" s="71"/>
    </row>
    <row r="477">
      <c r="B477" s="69"/>
      <c r="K477" s="71"/>
    </row>
    <row r="478">
      <c r="B478" s="69"/>
      <c r="K478" s="71"/>
    </row>
    <row r="479">
      <c r="B479" s="69"/>
      <c r="K479" s="71"/>
    </row>
    <row r="480">
      <c r="B480" s="69"/>
      <c r="K480" s="71"/>
    </row>
    <row r="481">
      <c r="B481" s="69"/>
      <c r="K481" s="71"/>
    </row>
    <row r="482">
      <c r="B482" s="69"/>
      <c r="K482" s="71"/>
    </row>
    <row r="483">
      <c r="B483" s="69"/>
      <c r="K483" s="71"/>
    </row>
    <row r="484">
      <c r="B484" s="69"/>
      <c r="K484" s="71"/>
    </row>
    <row r="485">
      <c r="B485" s="69"/>
      <c r="K485" s="71"/>
    </row>
    <row r="486">
      <c r="B486" s="69"/>
      <c r="K486" s="71"/>
    </row>
    <row r="487">
      <c r="B487" s="69"/>
      <c r="K487" s="71"/>
    </row>
    <row r="488">
      <c r="B488" s="69"/>
      <c r="K488" s="71"/>
    </row>
    <row r="489">
      <c r="B489" s="69"/>
      <c r="K489" s="71"/>
    </row>
    <row r="490">
      <c r="B490" s="69"/>
      <c r="K490" s="71"/>
    </row>
    <row r="491">
      <c r="B491" s="69"/>
      <c r="K491" s="71"/>
    </row>
    <row r="492">
      <c r="B492" s="69"/>
      <c r="K492" s="71"/>
    </row>
    <row r="493">
      <c r="B493" s="69"/>
      <c r="K493" s="71"/>
    </row>
    <row r="494">
      <c r="B494" s="69"/>
      <c r="K494" s="71"/>
    </row>
    <row r="495">
      <c r="B495" s="69"/>
      <c r="K495" s="71"/>
    </row>
    <row r="496">
      <c r="B496" s="69"/>
      <c r="K496" s="71"/>
    </row>
    <row r="497">
      <c r="B497" s="69"/>
      <c r="K497" s="71"/>
    </row>
    <row r="498">
      <c r="B498" s="69"/>
      <c r="K498" s="71"/>
    </row>
    <row r="499">
      <c r="B499" s="69"/>
      <c r="K499" s="71"/>
    </row>
    <row r="500">
      <c r="B500" s="69"/>
      <c r="K500" s="71"/>
    </row>
    <row r="501">
      <c r="B501" s="69"/>
      <c r="K501" s="71"/>
    </row>
    <row r="502">
      <c r="B502" s="69"/>
      <c r="K502" s="71"/>
    </row>
    <row r="503">
      <c r="B503" s="69"/>
      <c r="K503" s="71"/>
    </row>
    <row r="504">
      <c r="B504" s="69"/>
      <c r="K504" s="71"/>
    </row>
    <row r="505">
      <c r="B505" s="69"/>
      <c r="K505" s="71"/>
    </row>
    <row r="506">
      <c r="B506" s="69"/>
      <c r="K506" s="71"/>
    </row>
    <row r="507">
      <c r="B507" s="69"/>
      <c r="K507" s="71"/>
    </row>
    <row r="508">
      <c r="B508" s="69"/>
      <c r="K508" s="71"/>
    </row>
    <row r="509">
      <c r="B509" s="69"/>
      <c r="K509" s="71"/>
    </row>
    <row r="510">
      <c r="B510" s="69"/>
      <c r="K510" s="71"/>
    </row>
    <row r="511">
      <c r="B511" s="69"/>
      <c r="K511" s="71"/>
    </row>
    <row r="512">
      <c r="B512" s="69"/>
      <c r="K512" s="71"/>
    </row>
    <row r="513">
      <c r="B513" s="69"/>
      <c r="K513" s="71"/>
    </row>
    <row r="514">
      <c r="B514" s="69"/>
      <c r="K514" s="71"/>
    </row>
    <row r="515">
      <c r="B515" s="69"/>
      <c r="K515" s="71"/>
    </row>
    <row r="516">
      <c r="B516" s="69"/>
      <c r="K516" s="71"/>
    </row>
    <row r="517">
      <c r="B517" s="69"/>
      <c r="K517" s="71"/>
    </row>
    <row r="518">
      <c r="B518" s="69"/>
      <c r="K518" s="71"/>
    </row>
    <row r="519">
      <c r="B519" s="69"/>
      <c r="K519" s="71"/>
    </row>
    <row r="520">
      <c r="B520" s="69"/>
      <c r="K520" s="71"/>
    </row>
    <row r="521">
      <c r="B521" s="69"/>
      <c r="K521" s="71"/>
    </row>
    <row r="522">
      <c r="B522" s="69"/>
      <c r="K522" s="71"/>
    </row>
    <row r="523">
      <c r="B523" s="69"/>
      <c r="K523" s="71"/>
    </row>
    <row r="524">
      <c r="B524" s="69"/>
      <c r="K524" s="71"/>
    </row>
    <row r="525">
      <c r="B525" s="69"/>
      <c r="K525" s="71"/>
    </row>
    <row r="526">
      <c r="B526" s="69"/>
      <c r="K526" s="71"/>
    </row>
    <row r="527">
      <c r="B527" s="69"/>
      <c r="K527" s="71"/>
    </row>
    <row r="528">
      <c r="B528" s="69"/>
      <c r="K528" s="71"/>
    </row>
    <row r="529">
      <c r="B529" s="69"/>
      <c r="K529" s="71"/>
    </row>
    <row r="530">
      <c r="B530" s="69"/>
      <c r="K530" s="71"/>
    </row>
    <row r="531">
      <c r="B531" s="69"/>
      <c r="K531" s="71"/>
    </row>
    <row r="532">
      <c r="B532" s="69"/>
      <c r="K532" s="71"/>
    </row>
    <row r="533">
      <c r="B533" s="69"/>
      <c r="K533" s="71"/>
    </row>
    <row r="534">
      <c r="B534" s="69"/>
      <c r="K534" s="71"/>
    </row>
    <row r="535">
      <c r="B535" s="69"/>
      <c r="K535" s="71"/>
    </row>
    <row r="536">
      <c r="B536" s="69"/>
      <c r="K536" s="71"/>
    </row>
    <row r="537">
      <c r="B537" s="69"/>
      <c r="K537" s="71"/>
    </row>
    <row r="538">
      <c r="B538" s="69"/>
      <c r="K538" s="71"/>
    </row>
    <row r="539">
      <c r="B539" s="69"/>
      <c r="K539" s="71"/>
    </row>
    <row r="540">
      <c r="B540" s="69"/>
      <c r="K540" s="71"/>
    </row>
    <row r="541">
      <c r="B541" s="69"/>
      <c r="K541" s="71"/>
    </row>
    <row r="542">
      <c r="B542" s="69"/>
      <c r="K542" s="71"/>
    </row>
    <row r="543">
      <c r="B543" s="69"/>
      <c r="K543" s="71"/>
    </row>
    <row r="544">
      <c r="B544" s="69"/>
      <c r="K544" s="71"/>
    </row>
    <row r="545">
      <c r="B545" s="69"/>
      <c r="K545" s="71"/>
    </row>
    <row r="546">
      <c r="B546" s="69"/>
      <c r="K546" s="71"/>
    </row>
    <row r="547">
      <c r="B547" s="69"/>
      <c r="K547" s="71"/>
    </row>
    <row r="548">
      <c r="B548" s="69"/>
      <c r="K548" s="71"/>
    </row>
    <row r="549">
      <c r="B549" s="69"/>
      <c r="K549" s="71"/>
    </row>
    <row r="550">
      <c r="B550" s="69"/>
      <c r="K550" s="71"/>
    </row>
    <row r="551">
      <c r="B551" s="69"/>
      <c r="K551" s="71"/>
    </row>
    <row r="552">
      <c r="B552" s="69"/>
      <c r="K552" s="71"/>
    </row>
    <row r="553">
      <c r="B553" s="69"/>
      <c r="K553" s="71"/>
    </row>
    <row r="554">
      <c r="B554" s="69"/>
      <c r="K554" s="71"/>
    </row>
    <row r="555">
      <c r="B555" s="69"/>
      <c r="K555" s="71"/>
    </row>
    <row r="556">
      <c r="B556" s="69"/>
      <c r="K556" s="71"/>
    </row>
    <row r="557">
      <c r="B557" s="69"/>
      <c r="K557" s="71"/>
    </row>
    <row r="558">
      <c r="B558" s="69"/>
      <c r="K558" s="71"/>
    </row>
    <row r="559">
      <c r="B559" s="69"/>
      <c r="K559" s="71"/>
    </row>
    <row r="560">
      <c r="B560" s="69"/>
      <c r="K560" s="71"/>
    </row>
    <row r="561">
      <c r="B561" s="69"/>
      <c r="K561" s="71"/>
    </row>
    <row r="562">
      <c r="B562" s="69"/>
      <c r="K562" s="71"/>
    </row>
    <row r="563">
      <c r="B563" s="69"/>
      <c r="K563" s="71"/>
    </row>
    <row r="564">
      <c r="B564" s="69"/>
      <c r="K564" s="71"/>
    </row>
    <row r="565">
      <c r="B565" s="69"/>
      <c r="K565" s="71"/>
    </row>
    <row r="566">
      <c r="B566" s="69"/>
      <c r="K566" s="71"/>
    </row>
    <row r="567">
      <c r="B567" s="69"/>
      <c r="K567" s="71"/>
    </row>
    <row r="568">
      <c r="B568" s="69"/>
      <c r="K568" s="71"/>
    </row>
    <row r="569">
      <c r="B569" s="69"/>
      <c r="K569" s="71"/>
    </row>
    <row r="570">
      <c r="B570" s="69"/>
      <c r="K570" s="71"/>
    </row>
    <row r="571">
      <c r="B571" s="69"/>
      <c r="K571" s="71"/>
    </row>
    <row r="572">
      <c r="B572" s="69"/>
      <c r="K572" s="71"/>
    </row>
    <row r="573">
      <c r="B573" s="69"/>
      <c r="K573" s="71"/>
    </row>
    <row r="574">
      <c r="B574" s="69"/>
      <c r="K574" s="71"/>
    </row>
    <row r="575">
      <c r="B575" s="69"/>
      <c r="K575" s="71"/>
    </row>
    <row r="576">
      <c r="B576" s="69"/>
      <c r="K576" s="71"/>
    </row>
    <row r="577">
      <c r="B577" s="69"/>
      <c r="K577" s="71"/>
    </row>
    <row r="578">
      <c r="B578" s="69"/>
      <c r="K578" s="71"/>
    </row>
    <row r="579">
      <c r="B579" s="69"/>
      <c r="K579" s="71"/>
    </row>
    <row r="580">
      <c r="B580" s="69"/>
      <c r="K580" s="71"/>
    </row>
    <row r="581">
      <c r="B581" s="69"/>
      <c r="K581" s="71"/>
    </row>
    <row r="582">
      <c r="B582" s="69"/>
      <c r="K582" s="71"/>
    </row>
    <row r="583">
      <c r="B583" s="69"/>
      <c r="K583" s="71"/>
    </row>
    <row r="584">
      <c r="B584" s="69"/>
      <c r="K584" s="71"/>
    </row>
    <row r="585">
      <c r="B585" s="69"/>
      <c r="K585" s="71"/>
    </row>
    <row r="586">
      <c r="B586" s="69"/>
      <c r="K586" s="71"/>
    </row>
    <row r="587">
      <c r="B587" s="69"/>
      <c r="K587" s="71"/>
    </row>
    <row r="588">
      <c r="B588" s="69"/>
      <c r="K588" s="71"/>
    </row>
    <row r="589">
      <c r="B589" s="69"/>
      <c r="K589" s="71"/>
    </row>
    <row r="590">
      <c r="B590" s="69"/>
      <c r="K590" s="71"/>
    </row>
    <row r="591">
      <c r="B591" s="69"/>
      <c r="K591" s="71"/>
    </row>
    <row r="592">
      <c r="B592" s="69"/>
      <c r="K592" s="71"/>
    </row>
    <row r="593">
      <c r="B593" s="69"/>
      <c r="K593" s="71"/>
    </row>
    <row r="594">
      <c r="B594" s="69"/>
      <c r="K594" s="71"/>
    </row>
    <row r="595">
      <c r="B595" s="69"/>
      <c r="K595" s="71"/>
    </row>
    <row r="596">
      <c r="B596" s="69"/>
      <c r="K596" s="71"/>
    </row>
    <row r="597">
      <c r="B597" s="69"/>
      <c r="K597" s="71"/>
    </row>
    <row r="598">
      <c r="B598" s="69"/>
      <c r="K598" s="71"/>
    </row>
    <row r="599">
      <c r="B599" s="69"/>
      <c r="K599" s="71"/>
    </row>
    <row r="600">
      <c r="B600" s="69"/>
      <c r="K600" s="71"/>
    </row>
    <row r="601">
      <c r="B601" s="69"/>
      <c r="K601" s="71"/>
    </row>
    <row r="602">
      <c r="B602" s="69"/>
      <c r="K602" s="71"/>
    </row>
    <row r="603">
      <c r="B603" s="69"/>
      <c r="K603" s="71"/>
    </row>
    <row r="604">
      <c r="B604" s="69"/>
      <c r="K604" s="71"/>
    </row>
    <row r="605">
      <c r="B605" s="69"/>
      <c r="K605" s="71"/>
    </row>
    <row r="606">
      <c r="B606" s="69"/>
      <c r="K606" s="71"/>
    </row>
    <row r="607">
      <c r="B607" s="69"/>
      <c r="K607" s="71"/>
    </row>
    <row r="608">
      <c r="B608" s="69"/>
      <c r="K608" s="71"/>
    </row>
    <row r="609">
      <c r="B609" s="69"/>
      <c r="K609" s="71"/>
    </row>
    <row r="610">
      <c r="B610" s="69"/>
      <c r="K610" s="71"/>
    </row>
    <row r="611">
      <c r="B611" s="69"/>
      <c r="K611" s="71"/>
    </row>
    <row r="612">
      <c r="B612" s="69"/>
      <c r="K612" s="71"/>
    </row>
    <row r="613">
      <c r="B613" s="69"/>
      <c r="K613" s="71"/>
    </row>
    <row r="614">
      <c r="B614" s="69"/>
      <c r="K614" s="71"/>
    </row>
    <row r="615">
      <c r="B615" s="69"/>
      <c r="K615" s="71"/>
    </row>
    <row r="616">
      <c r="B616" s="69"/>
      <c r="K616" s="71"/>
    </row>
    <row r="617">
      <c r="B617" s="69"/>
      <c r="K617" s="71"/>
    </row>
    <row r="618">
      <c r="B618" s="69"/>
      <c r="K618" s="71"/>
    </row>
    <row r="619">
      <c r="B619" s="69"/>
      <c r="K619" s="71"/>
    </row>
    <row r="620">
      <c r="B620" s="69"/>
      <c r="K620" s="71"/>
    </row>
    <row r="621">
      <c r="B621" s="69"/>
      <c r="K621" s="71"/>
    </row>
    <row r="622">
      <c r="B622" s="69"/>
      <c r="K622" s="71"/>
    </row>
    <row r="623">
      <c r="B623" s="69"/>
      <c r="K623" s="71"/>
    </row>
    <row r="624">
      <c r="B624" s="69"/>
      <c r="K624" s="71"/>
    </row>
    <row r="625">
      <c r="B625" s="69"/>
      <c r="K625" s="71"/>
    </row>
    <row r="626">
      <c r="B626" s="69"/>
      <c r="K626" s="71"/>
    </row>
    <row r="627">
      <c r="B627" s="69"/>
      <c r="K627" s="71"/>
    </row>
    <row r="628">
      <c r="B628" s="69"/>
      <c r="K628" s="71"/>
    </row>
    <row r="629">
      <c r="B629" s="69"/>
      <c r="K629" s="71"/>
    </row>
    <row r="630">
      <c r="B630" s="69"/>
      <c r="K630" s="71"/>
    </row>
    <row r="631">
      <c r="B631" s="69"/>
      <c r="K631" s="71"/>
    </row>
    <row r="632">
      <c r="B632" s="69"/>
      <c r="K632" s="71"/>
    </row>
    <row r="633">
      <c r="B633" s="69"/>
      <c r="K633" s="71"/>
    </row>
    <row r="634">
      <c r="B634" s="69"/>
      <c r="K634" s="71"/>
    </row>
    <row r="635">
      <c r="B635" s="69"/>
      <c r="K635" s="71"/>
    </row>
    <row r="636">
      <c r="B636" s="69"/>
      <c r="K636" s="71"/>
    </row>
    <row r="637">
      <c r="B637" s="69"/>
      <c r="K637" s="71"/>
    </row>
    <row r="638">
      <c r="B638" s="69"/>
      <c r="K638" s="71"/>
    </row>
    <row r="639">
      <c r="B639" s="69"/>
      <c r="K639" s="71"/>
    </row>
    <row r="640">
      <c r="B640" s="69"/>
      <c r="K640" s="71"/>
    </row>
    <row r="641">
      <c r="B641" s="69"/>
      <c r="K641" s="71"/>
    </row>
    <row r="642">
      <c r="B642" s="69"/>
      <c r="K642" s="71"/>
    </row>
    <row r="643">
      <c r="B643" s="69"/>
      <c r="K643" s="71"/>
    </row>
    <row r="644">
      <c r="B644" s="69"/>
      <c r="K644" s="71"/>
    </row>
    <row r="645">
      <c r="B645" s="69"/>
      <c r="K645" s="71"/>
    </row>
    <row r="646">
      <c r="B646" s="69"/>
      <c r="K646" s="71"/>
    </row>
    <row r="647">
      <c r="B647" s="69"/>
      <c r="K647" s="71"/>
    </row>
    <row r="648">
      <c r="B648" s="69"/>
      <c r="K648" s="71"/>
    </row>
    <row r="649">
      <c r="B649" s="69"/>
      <c r="K649" s="71"/>
    </row>
    <row r="650">
      <c r="B650" s="69"/>
      <c r="K650" s="71"/>
    </row>
    <row r="651">
      <c r="B651" s="69"/>
      <c r="K651" s="71"/>
    </row>
    <row r="652">
      <c r="B652" s="69"/>
      <c r="K652" s="71"/>
    </row>
    <row r="653">
      <c r="B653" s="69"/>
      <c r="K653" s="71"/>
    </row>
    <row r="654">
      <c r="B654" s="69"/>
      <c r="K654" s="71"/>
    </row>
    <row r="655">
      <c r="B655" s="69"/>
      <c r="K655" s="71"/>
    </row>
    <row r="656">
      <c r="B656" s="69"/>
      <c r="K656" s="71"/>
    </row>
    <row r="657">
      <c r="B657" s="69"/>
      <c r="K657" s="71"/>
    </row>
    <row r="658">
      <c r="B658" s="69"/>
      <c r="K658" s="71"/>
    </row>
    <row r="659">
      <c r="B659" s="69"/>
      <c r="K659" s="71"/>
    </row>
    <row r="660">
      <c r="B660" s="69"/>
      <c r="K660" s="71"/>
    </row>
    <row r="661">
      <c r="B661" s="69"/>
      <c r="K661" s="71"/>
    </row>
    <row r="662">
      <c r="B662" s="69"/>
      <c r="K662" s="71"/>
    </row>
    <row r="663">
      <c r="B663" s="69"/>
      <c r="K663" s="71"/>
    </row>
    <row r="664">
      <c r="B664" s="69"/>
      <c r="K664" s="71"/>
    </row>
    <row r="665">
      <c r="B665" s="69"/>
      <c r="K665" s="71"/>
    </row>
    <row r="666">
      <c r="B666" s="69"/>
      <c r="K666" s="71"/>
    </row>
    <row r="667">
      <c r="B667" s="69"/>
      <c r="K667" s="71"/>
    </row>
    <row r="668">
      <c r="B668" s="69"/>
      <c r="K668" s="71"/>
    </row>
    <row r="669">
      <c r="B669" s="69"/>
      <c r="K669" s="71"/>
    </row>
    <row r="670">
      <c r="B670" s="69"/>
      <c r="K670" s="71"/>
    </row>
    <row r="671">
      <c r="B671" s="69"/>
      <c r="K671" s="71"/>
    </row>
    <row r="672">
      <c r="B672" s="69"/>
      <c r="K672" s="71"/>
    </row>
    <row r="673">
      <c r="B673" s="69"/>
      <c r="K673" s="71"/>
    </row>
    <row r="674">
      <c r="B674" s="69"/>
      <c r="K674" s="71"/>
    </row>
    <row r="675">
      <c r="B675" s="69"/>
      <c r="K675" s="71"/>
    </row>
    <row r="676">
      <c r="B676" s="69"/>
      <c r="K676" s="71"/>
    </row>
    <row r="677">
      <c r="B677" s="69"/>
      <c r="K677" s="71"/>
    </row>
    <row r="678">
      <c r="B678" s="69"/>
      <c r="K678" s="71"/>
    </row>
    <row r="679">
      <c r="B679" s="69"/>
      <c r="K679" s="71"/>
    </row>
    <row r="680">
      <c r="B680" s="69"/>
      <c r="K680" s="71"/>
    </row>
    <row r="681">
      <c r="B681" s="69"/>
      <c r="K681" s="71"/>
    </row>
    <row r="682">
      <c r="B682" s="69"/>
      <c r="K682" s="71"/>
    </row>
    <row r="683">
      <c r="B683" s="69"/>
      <c r="K683" s="71"/>
    </row>
    <row r="684">
      <c r="B684" s="69"/>
      <c r="K684" s="71"/>
    </row>
    <row r="685">
      <c r="B685" s="69"/>
      <c r="K685" s="71"/>
    </row>
    <row r="686">
      <c r="B686" s="69"/>
      <c r="K686" s="71"/>
    </row>
    <row r="687">
      <c r="B687" s="69"/>
      <c r="K687" s="71"/>
    </row>
    <row r="688">
      <c r="B688" s="69"/>
      <c r="K688" s="71"/>
    </row>
    <row r="689">
      <c r="B689" s="69"/>
      <c r="K689" s="71"/>
    </row>
    <row r="690">
      <c r="B690" s="69"/>
      <c r="K690" s="71"/>
    </row>
    <row r="691">
      <c r="B691" s="69"/>
      <c r="K691" s="71"/>
    </row>
    <row r="692">
      <c r="B692" s="69"/>
      <c r="K692" s="71"/>
    </row>
    <row r="693">
      <c r="B693" s="69"/>
      <c r="K693" s="71"/>
    </row>
    <row r="694">
      <c r="B694" s="69"/>
      <c r="K694" s="71"/>
    </row>
    <row r="695">
      <c r="B695" s="69"/>
      <c r="K695" s="71"/>
    </row>
    <row r="696">
      <c r="B696" s="69"/>
      <c r="K696" s="71"/>
    </row>
    <row r="697">
      <c r="B697" s="69"/>
      <c r="K697" s="71"/>
    </row>
    <row r="698">
      <c r="B698" s="69"/>
      <c r="K698" s="71"/>
    </row>
    <row r="699">
      <c r="B699" s="69"/>
      <c r="K699" s="71"/>
    </row>
    <row r="700">
      <c r="B700" s="69"/>
      <c r="K700" s="71"/>
    </row>
    <row r="701">
      <c r="B701" s="69"/>
      <c r="K701" s="71"/>
    </row>
    <row r="702">
      <c r="B702" s="69"/>
      <c r="K702" s="71"/>
    </row>
    <row r="703">
      <c r="B703" s="69"/>
      <c r="K703" s="71"/>
    </row>
    <row r="704">
      <c r="B704" s="69"/>
      <c r="K704" s="71"/>
    </row>
    <row r="705">
      <c r="B705" s="69"/>
      <c r="K705" s="71"/>
    </row>
    <row r="706">
      <c r="B706" s="69"/>
      <c r="K706" s="71"/>
    </row>
    <row r="707">
      <c r="B707" s="69"/>
      <c r="K707" s="71"/>
    </row>
    <row r="708">
      <c r="B708" s="69"/>
      <c r="K708" s="71"/>
    </row>
    <row r="709">
      <c r="B709" s="69"/>
      <c r="K709" s="71"/>
    </row>
    <row r="710">
      <c r="B710" s="69"/>
      <c r="K710" s="71"/>
    </row>
    <row r="711">
      <c r="B711" s="69"/>
      <c r="K711" s="71"/>
    </row>
    <row r="712">
      <c r="B712" s="69"/>
      <c r="K712" s="71"/>
    </row>
    <row r="713">
      <c r="B713" s="69"/>
      <c r="K713" s="71"/>
    </row>
    <row r="714">
      <c r="B714" s="69"/>
      <c r="K714" s="71"/>
    </row>
    <row r="715">
      <c r="B715" s="69"/>
      <c r="K715" s="71"/>
    </row>
    <row r="716">
      <c r="B716" s="69"/>
      <c r="K716" s="71"/>
    </row>
    <row r="717">
      <c r="B717" s="69"/>
      <c r="K717" s="71"/>
    </row>
    <row r="718">
      <c r="B718" s="69"/>
      <c r="K718" s="71"/>
    </row>
    <row r="719">
      <c r="B719" s="69"/>
      <c r="K719" s="71"/>
    </row>
    <row r="720">
      <c r="B720" s="69"/>
      <c r="K720" s="71"/>
    </row>
    <row r="721">
      <c r="B721" s="69"/>
      <c r="K721" s="71"/>
    </row>
    <row r="722">
      <c r="B722" s="69"/>
      <c r="K722" s="71"/>
    </row>
    <row r="723">
      <c r="B723" s="69"/>
      <c r="K723" s="71"/>
    </row>
    <row r="724">
      <c r="B724" s="69"/>
      <c r="K724" s="71"/>
    </row>
    <row r="725">
      <c r="B725" s="69"/>
      <c r="K725" s="71"/>
    </row>
    <row r="726">
      <c r="B726" s="69"/>
      <c r="K726" s="71"/>
    </row>
    <row r="727">
      <c r="B727" s="69"/>
      <c r="K727" s="71"/>
    </row>
    <row r="728">
      <c r="B728" s="69"/>
      <c r="K728" s="71"/>
    </row>
    <row r="729">
      <c r="B729" s="69"/>
      <c r="K729" s="71"/>
    </row>
    <row r="730">
      <c r="B730" s="69"/>
      <c r="K730" s="71"/>
    </row>
    <row r="731">
      <c r="B731" s="69"/>
      <c r="K731" s="71"/>
    </row>
    <row r="732">
      <c r="B732" s="69"/>
      <c r="K732" s="71"/>
    </row>
    <row r="733">
      <c r="B733" s="69"/>
      <c r="K733" s="71"/>
    </row>
    <row r="734">
      <c r="B734" s="69"/>
      <c r="K734" s="71"/>
    </row>
    <row r="735">
      <c r="B735" s="69"/>
      <c r="K735" s="71"/>
    </row>
    <row r="736">
      <c r="B736" s="69"/>
      <c r="K736" s="71"/>
    </row>
    <row r="737">
      <c r="B737" s="69"/>
      <c r="K737" s="71"/>
    </row>
    <row r="738">
      <c r="B738" s="69"/>
      <c r="K738" s="71"/>
    </row>
    <row r="739">
      <c r="B739" s="69"/>
      <c r="K739" s="71"/>
    </row>
    <row r="740">
      <c r="B740" s="69"/>
      <c r="K740" s="71"/>
    </row>
    <row r="741">
      <c r="B741" s="69"/>
      <c r="K741" s="71"/>
    </row>
    <row r="742">
      <c r="B742" s="69"/>
      <c r="K742" s="71"/>
    </row>
    <row r="743">
      <c r="B743" s="69"/>
      <c r="K743" s="71"/>
    </row>
    <row r="744">
      <c r="B744" s="69"/>
      <c r="K744" s="71"/>
    </row>
    <row r="745">
      <c r="B745" s="69"/>
      <c r="K745" s="71"/>
    </row>
    <row r="746">
      <c r="B746" s="69"/>
      <c r="K746" s="71"/>
    </row>
    <row r="747">
      <c r="B747" s="69"/>
      <c r="K747" s="71"/>
    </row>
    <row r="748">
      <c r="B748" s="69"/>
      <c r="K748" s="71"/>
    </row>
    <row r="749">
      <c r="B749" s="69"/>
      <c r="K749" s="71"/>
    </row>
    <row r="750">
      <c r="B750" s="69"/>
      <c r="K750" s="71"/>
    </row>
    <row r="751">
      <c r="B751" s="69"/>
      <c r="K751" s="71"/>
    </row>
    <row r="752">
      <c r="B752" s="69"/>
      <c r="K752" s="71"/>
    </row>
    <row r="753">
      <c r="B753" s="69"/>
      <c r="K753" s="71"/>
    </row>
    <row r="754">
      <c r="B754" s="69"/>
      <c r="K754" s="71"/>
    </row>
    <row r="755">
      <c r="B755" s="69"/>
      <c r="K755" s="71"/>
    </row>
    <row r="756">
      <c r="B756" s="69"/>
      <c r="K756" s="71"/>
    </row>
    <row r="757">
      <c r="B757" s="69"/>
      <c r="K757" s="71"/>
    </row>
    <row r="758">
      <c r="B758" s="69"/>
      <c r="K758" s="71"/>
    </row>
    <row r="759">
      <c r="B759" s="69"/>
      <c r="K759" s="71"/>
    </row>
    <row r="760">
      <c r="B760" s="69"/>
      <c r="K760" s="71"/>
    </row>
    <row r="761">
      <c r="B761" s="69"/>
      <c r="K761" s="71"/>
    </row>
    <row r="762">
      <c r="B762" s="69"/>
      <c r="K762" s="71"/>
    </row>
    <row r="763">
      <c r="B763" s="69"/>
      <c r="K763" s="71"/>
    </row>
    <row r="764">
      <c r="B764" s="69"/>
      <c r="K764" s="71"/>
    </row>
    <row r="765">
      <c r="B765" s="69"/>
      <c r="K765" s="71"/>
    </row>
    <row r="766">
      <c r="B766" s="69"/>
      <c r="K766" s="71"/>
    </row>
    <row r="767">
      <c r="B767" s="69"/>
      <c r="K767" s="71"/>
    </row>
    <row r="768">
      <c r="B768" s="69"/>
      <c r="K768" s="71"/>
    </row>
    <row r="769">
      <c r="B769" s="69"/>
      <c r="K769" s="71"/>
    </row>
    <row r="770">
      <c r="B770" s="69"/>
      <c r="K770" s="71"/>
    </row>
    <row r="771">
      <c r="B771" s="69"/>
      <c r="K771" s="71"/>
    </row>
    <row r="772">
      <c r="B772" s="69"/>
      <c r="K772" s="71"/>
    </row>
    <row r="773">
      <c r="B773" s="69"/>
      <c r="K773" s="71"/>
    </row>
    <row r="774">
      <c r="B774" s="69"/>
      <c r="K774" s="71"/>
    </row>
    <row r="775">
      <c r="B775" s="69"/>
      <c r="K775" s="71"/>
    </row>
    <row r="776">
      <c r="B776" s="69"/>
      <c r="K776" s="71"/>
    </row>
    <row r="777">
      <c r="B777" s="69"/>
      <c r="K777" s="71"/>
    </row>
    <row r="778">
      <c r="B778" s="69"/>
      <c r="K778" s="71"/>
    </row>
    <row r="779">
      <c r="B779" s="69"/>
      <c r="K779" s="71"/>
    </row>
    <row r="780">
      <c r="B780" s="69"/>
      <c r="K780" s="71"/>
    </row>
    <row r="781">
      <c r="B781" s="69"/>
      <c r="K781" s="71"/>
    </row>
    <row r="782">
      <c r="B782" s="69"/>
      <c r="K782" s="71"/>
    </row>
    <row r="783">
      <c r="B783" s="69"/>
      <c r="K783" s="71"/>
    </row>
    <row r="784">
      <c r="B784" s="69"/>
      <c r="K784" s="71"/>
    </row>
    <row r="785">
      <c r="B785" s="69"/>
      <c r="K785" s="71"/>
    </row>
    <row r="786">
      <c r="B786" s="69"/>
      <c r="K786" s="71"/>
    </row>
    <row r="787">
      <c r="B787" s="69"/>
      <c r="K787" s="71"/>
    </row>
    <row r="788">
      <c r="B788" s="69"/>
      <c r="K788" s="71"/>
    </row>
    <row r="789">
      <c r="B789" s="69"/>
      <c r="K789" s="71"/>
    </row>
    <row r="790">
      <c r="B790" s="69"/>
      <c r="K790" s="71"/>
    </row>
    <row r="791">
      <c r="B791" s="69"/>
      <c r="K791" s="71"/>
    </row>
    <row r="792">
      <c r="B792" s="69"/>
      <c r="K792" s="71"/>
    </row>
    <row r="793">
      <c r="B793" s="69"/>
      <c r="K793" s="71"/>
    </row>
    <row r="794">
      <c r="B794" s="69"/>
      <c r="K794" s="71"/>
    </row>
    <row r="795">
      <c r="B795" s="69"/>
      <c r="K795" s="71"/>
    </row>
    <row r="796">
      <c r="B796" s="69"/>
      <c r="K796" s="71"/>
    </row>
    <row r="797">
      <c r="B797" s="69"/>
      <c r="K797" s="71"/>
    </row>
    <row r="798">
      <c r="B798" s="69"/>
      <c r="K798" s="71"/>
    </row>
    <row r="799">
      <c r="B799" s="69"/>
      <c r="K799" s="71"/>
    </row>
    <row r="800">
      <c r="B800" s="69"/>
      <c r="K800" s="71"/>
    </row>
    <row r="801">
      <c r="B801" s="69"/>
      <c r="K801" s="71"/>
    </row>
    <row r="802">
      <c r="B802" s="69"/>
      <c r="K802" s="71"/>
    </row>
    <row r="803">
      <c r="B803" s="69"/>
      <c r="K803" s="71"/>
    </row>
    <row r="804">
      <c r="B804" s="69"/>
      <c r="K804" s="71"/>
    </row>
    <row r="805">
      <c r="B805" s="69"/>
      <c r="K805" s="71"/>
    </row>
    <row r="806">
      <c r="B806" s="69"/>
      <c r="K806" s="71"/>
    </row>
    <row r="807">
      <c r="B807" s="69"/>
      <c r="K807" s="71"/>
    </row>
    <row r="808">
      <c r="B808" s="69"/>
      <c r="K808" s="71"/>
    </row>
    <row r="809">
      <c r="B809" s="69"/>
      <c r="K809" s="71"/>
    </row>
    <row r="810">
      <c r="B810" s="69"/>
      <c r="K810" s="71"/>
    </row>
    <row r="811">
      <c r="B811" s="69"/>
      <c r="K811" s="71"/>
    </row>
    <row r="812">
      <c r="B812" s="69"/>
      <c r="K812" s="71"/>
    </row>
    <row r="813">
      <c r="B813" s="69"/>
      <c r="K813" s="71"/>
    </row>
    <row r="814">
      <c r="B814" s="69"/>
      <c r="K814" s="71"/>
    </row>
    <row r="815">
      <c r="B815" s="69"/>
      <c r="K815" s="71"/>
    </row>
    <row r="816">
      <c r="B816" s="69"/>
      <c r="K816" s="71"/>
    </row>
    <row r="817">
      <c r="B817" s="69"/>
      <c r="K817" s="71"/>
    </row>
    <row r="818">
      <c r="B818" s="69"/>
      <c r="K818" s="71"/>
    </row>
    <row r="819">
      <c r="B819" s="69"/>
      <c r="K819" s="71"/>
    </row>
    <row r="820">
      <c r="B820" s="69"/>
      <c r="K820" s="71"/>
    </row>
    <row r="821">
      <c r="B821" s="69"/>
      <c r="K821" s="71"/>
    </row>
    <row r="822">
      <c r="B822" s="69"/>
      <c r="K822" s="71"/>
    </row>
    <row r="823">
      <c r="B823" s="69"/>
      <c r="K823" s="71"/>
    </row>
    <row r="824">
      <c r="B824" s="69"/>
      <c r="K824" s="71"/>
    </row>
    <row r="825">
      <c r="B825" s="69"/>
      <c r="K825" s="71"/>
    </row>
    <row r="826">
      <c r="B826" s="69"/>
      <c r="K826" s="71"/>
    </row>
    <row r="827">
      <c r="B827" s="69"/>
      <c r="K827" s="71"/>
    </row>
    <row r="828">
      <c r="B828" s="69"/>
      <c r="K828" s="71"/>
    </row>
    <row r="829">
      <c r="B829" s="69"/>
      <c r="K829" s="71"/>
    </row>
    <row r="830">
      <c r="B830" s="69"/>
      <c r="K830" s="71"/>
    </row>
    <row r="831">
      <c r="B831" s="69"/>
      <c r="K831" s="71"/>
    </row>
    <row r="832">
      <c r="B832" s="69"/>
      <c r="K832" s="71"/>
    </row>
    <row r="833">
      <c r="B833" s="69"/>
      <c r="K833" s="71"/>
    </row>
    <row r="834">
      <c r="B834" s="69"/>
      <c r="K834" s="71"/>
    </row>
    <row r="835">
      <c r="B835" s="69"/>
      <c r="K835" s="71"/>
    </row>
    <row r="836">
      <c r="B836" s="69"/>
      <c r="K836" s="71"/>
    </row>
    <row r="837">
      <c r="B837" s="69"/>
      <c r="K837" s="71"/>
    </row>
    <row r="838">
      <c r="B838" s="69"/>
      <c r="K838" s="71"/>
    </row>
    <row r="839">
      <c r="B839" s="69"/>
      <c r="K839" s="71"/>
    </row>
    <row r="840">
      <c r="B840" s="69"/>
      <c r="K840" s="71"/>
    </row>
    <row r="841">
      <c r="B841" s="69"/>
      <c r="K841" s="71"/>
    </row>
    <row r="842">
      <c r="B842" s="69"/>
      <c r="K842" s="71"/>
    </row>
    <row r="843">
      <c r="B843" s="69"/>
      <c r="K843" s="71"/>
    </row>
    <row r="844">
      <c r="B844" s="69"/>
      <c r="K844" s="71"/>
    </row>
    <row r="845">
      <c r="B845" s="69"/>
      <c r="K845" s="71"/>
    </row>
    <row r="846">
      <c r="B846" s="69"/>
      <c r="K846" s="71"/>
    </row>
    <row r="847">
      <c r="B847" s="69"/>
      <c r="K847" s="71"/>
    </row>
    <row r="848">
      <c r="B848" s="69"/>
      <c r="K848" s="71"/>
    </row>
    <row r="849">
      <c r="B849" s="69"/>
      <c r="K849" s="71"/>
    </row>
    <row r="850">
      <c r="B850" s="69"/>
      <c r="K850" s="71"/>
    </row>
    <row r="851">
      <c r="B851" s="69"/>
      <c r="K851" s="71"/>
    </row>
    <row r="852">
      <c r="B852" s="69"/>
      <c r="K852" s="71"/>
    </row>
    <row r="853">
      <c r="B853" s="69"/>
      <c r="K853" s="71"/>
    </row>
    <row r="854">
      <c r="B854" s="69"/>
      <c r="K854" s="71"/>
    </row>
    <row r="855">
      <c r="B855" s="69"/>
      <c r="K855" s="71"/>
    </row>
    <row r="856">
      <c r="B856" s="69"/>
      <c r="K856" s="71"/>
    </row>
    <row r="857">
      <c r="B857" s="69"/>
      <c r="K857" s="71"/>
    </row>
    <row r="858">
      <c r="B858" s="69"/>
      <c r="K858" s="71"/>
    </row>
    <row r="859">
      <c r="B859" s="69"/>
      <c r="K859" s="71"/>
    </row>
    <row r="860">
      <c r="B860" s="69"/>
      <c r="K860" s="71"/>
    </row>
    <row r="861">
      <c r="B861" s="69"/>
      <c r="K861" s="71"/>
    </row>
    <row r="862">
      <c r="B862" s="69"/>
      <c r="K862" s="71"/>
    </row>
    <row r="863">
      <c r="B863" s="69"/>
      <c r="K863" s="71"/>
    </row>
    <row r="864">
      <c r="B864" s="69"/>
      <c r="K864" s="71"/>
    </row>
    <row r="865">
      <c r="B865" s="69"/>
      <c r="K865" s="71"/>
    </row>
    <row r="866">
      <c r="B866" s="69"/>
      <c r="K866" s="71"/>
    </row>
    <row r="867">
      <c r="B867" s="69"/>
      <c r="K867" s="71"/>
    </row>
    <row r="868">
      <c r="B868" s="69"/>
      <c r="K868" s="71"/>
    </row>
    <row r="869">
      <c r="B869" s="69"/>
      <c r="K869" s="71"/>
    </row>
    <row r="870">
      <c r="B870" s="69"/>
      <c r="K870" s="71"/>
    </row>
    <row r="871">
      <c r="B871" s="69"/>
      <c r="K871" s="71"/>
    </row>
    <row r="872">
      <c r="B872" s="69"/>
      <c r="K872" s="71"/>
    </row>
    <row r="873">
      <c r="B873" s="69"/>
      <c r="K873" s="71"/>
    </row>
    <row r="874">
      <c r="B874" s="69"/>
      <c r="K874" s="71"/>
    </row>
    <row r="875">
      <c r="B875" s="69"/>
      <c r="K875" s="71"/>
    </row>
    <row r="876">
      <c r="B876" s="69"/>
      <c r="K876" s="71"/>
    </row>
    <row r="877">
      <c r="B877" s="69"/>
      <c r="K877" s="71"/>
    </row>
    <row r="878">
      <c r="B878" s="69"/>
      <c r="K878" s="71"/>
    </row>
    <row r="879">
      <c r="B879" s="69"/>
      <c r="K879" s="71"/>
    </row>
    <row r="880">
      <c r="B880" s="69"/>
      <c r="K880" s="71"/>
    </row>
    <row r="881">
      <c r="B881" s="69"/>
      <c r="K881" s="71"/>
    </row>
    <row r="882">
      <c r="B882" s="69"/>
      <c r="K882" s="71"/>
    </row>
    <row r="883">
      <c r="B883" s="69"/>
      <c r="K883" s="71"/>
    </row>
    <row r="884">
      <c r="B884" s="69"/>
      <c r="K884" s="71"/>
    </row>
    <row r="885">
      <c r="B885" s="69"/>
      <c r="K885" s="71"/>
    </row>
    <row r="886">
      <c r="B886" s="69"/>
      <c r="K886" s="71"/>
    </row>
    <row r="887">
      <c r="B887" s="69"/>
      <c r="K887" s="71"/>
    </row>
    <row r="888">
      <c r="B888" s="69"/>
      <c r="K888" s="71"/>
    </row>
    <row r="889">
      <c r="B889" s="69"/>
      <c r="K889" s="71"/>
    </row>
    <row r="890">
      <c r="B890" s="69"/>
      <c r="K890" s="71"/>
    </row>
    <row r="891">
      <c r="B891" s="69"/>
      <c r="K891" s="71"/>
    </row>
    <row r="892">
      <c r="B892" s="69"/>
      <c r="K892" s="71"/>
    </row>
    <row r="893">
      <c r="B893" s="69"/>
      <c r="K893" s="71"/>
    </row>
    <row r="894">
      <c r="B894" s="69"/>
      <c r="K894" s="71"/>
    </row>
    <row r="895">
      <c r="B895" s="69"/>
      <c r="K895" s="71"/>
    </row>
    <row r="896">
      <c r="B896" s="69"/>
      <c r="K896" s="71"/>
    </row>
    <row r="897">
      <c r="B897" s="69"/>
      <c r="K897" s="71"/>
    </row>
    <row r="898">
      <c r="B898" s="69"/>
      <c r="K898" s="71"/>
    </row>
    <row r="899">
      <c r="B899" s="69"/>
      <c r="K899" s="71"/>
    </row>
    <row r="900">
      <c r="B900" s="69"/>
      <c r="K900" s="71"/>
    </row>
    <row r="901">
      <c r="B901" s="69"/>
      <c r="K901" s="71"/>
    </row>
    <row r="902">
      <c r="B902" s="69"/>
      <c r="K902" s="71"/>
    </row>
    <row r="903">
      <c r="B903" s="69"/>
      <c r="K903" s="71"/>
    </row>
    <row r="904">
      <c r="B904" s="69"/>
      <c r="K904" s="71"/>
    </row>
    <row r="905">
      <c r="B905" s="69"/>
      <c r="K905" s="71"/>
    </row>
    <row r="906">
      <c r="B906" s="69"/>
      <c r="K906" s="71"/>
    </row>
    <row r="907">
      <c r="B907" s="69"/>
      <c r="K907" s="71"/>
    </row>
    <row r="908">
      <c r="B908" s="69"/>
      <c r="K908" s="71"/>
    </row>
    <row r="909">
      <c r="B909" s="69"/>
      <c r="K909" s="71"/>
    </row>
    <row r="910">
      <c r="B910" s="69"/>
      <c r="K910" s="71"/>
    </row>
    <row r="911">
      <c r="B911" s="69"/>
      <c r="K911" s="71"/>
    </row>
    <row r="912">
      <c r="B912" s="69"/>
      <c r="K912" s="71"/>
    </row>
    <row r="913">
      <c r="B913" s="69"/>
      <c r="K913" s="71"/>
    </row>
    <row r="914">
      <c r="B914" s="69"/>
      <c r="K914" s="71"/>
    </row>
    <row r="915">
      <c r="B915" s="69"/>
      <c r="K915" s="71"/>
    </row>
    <row r="916">
      <c r="B916" s="69"/>
      <c r="K916" s="71"/>
    </row>
    <row r="917">
      <c r="B917" s="69"/>
      <c r="K917" s="71"/>
    </row>
    <row r="918">
      <c r="B918" s="69"/>
      <c r="K918" s="71"/>
    </row>
    <row r="919">
      <c r="B919" s="69"/>
      <c r="K919" s="71"/>
    </row>
    <row r="920">
      <c r="B920" s="69"/>
      <c r="K920" s="71"/>
    </row>
    <row r="921">
      <c r="B921" s="69"/>
      <c r="K921" s="71"/>
    </row>
    <row r="922">
      <c r="B922" s="69"/>
      <c r="K922" s="71"/>
    </row>
    <row r="923">
      <c r="B923" s="69"/>
      <c r="K923" s="71"/>
    </row>
    <row r="924">
      <c r="B924" s="69"/>
      <c r="K924" s="71"/>
    </row>
    <row r="925">
      <c r="B925" s="69"/>
      <c r="K925" s="71"/>
    </row>
    <row r="926">
      <c r="B926" s="69"/>
      <c r="K926" s="71"/>
    </row>
    <row r="927">
      <c r="B927" s="69"/>
      <c r="K927" s="71"/>
    </row>
    <row r="928">
      <c r="B928" s="69"/>
      <c r="K928" s="71"/>
    </row>
    <row r="929">
      <c r="B929" s="69"/>
      <c r="K929" s="71"/>
    </row>
    <row r="930">
      <c r="B930" s="69"/>
      <c r="K930" s="71"/>
    </row>
    <row r="931">
      <c r="B931" s="69"/>
      <c r="K931" s="71"/>
    </row>
    <row r="932">
      <c r="B932" s="69"/>
      <c r="K932" s="71"/>
    </row>
    <row r="933">
      <c r="B933" s="69"/>
      <c r="K933" s="71"/>
    </row>
    <row r="934">
      <c r="B934" s="69"/>
      <c r="K934" s="71"/>
    </row>
    <row r="935">
      <c r="B935" s="69"/>
      <c r="K935" s="71"/>
    </row>
    <row r="936">
      <c r="B936" s="69"/>
      <c r="K936" s="71"/>
    </row>
    <row r="937">
      <c r="B937" s="69"/>
      <c r="K937" s="71"/>
    </row>
    <row r="938">
      <c r="B938" s="69"/>
      <c r="K938" s="71"/>
    </row>
    <row r="939">
      <c r="B939" s="69"/>
      <c r="K939" s="71"/>
    </row>
    <row r="940">
      <c r="B940" s="69"/>
      <c r="K940" s="71"/>
    </row>
    <row r="941">
      <c r="B941" s="69"/>
      <c r="K941" s="71"/>
    </row>
    <row r="942">
      <c r="B942" s="69"/>
      <c r="K942" s="71"/>
    </row>
    <row r="943">
      <c r="B943" s="69"/>
      <c r="K943" s="71"/>
    </row>
    <row r="944">
      <c r="B944" s="69"/>
      <c r="K944" s="71"/>
    </row>
    <row r="945">
      <c r="B945" s="69"/>
      <c r="K945" s="71"/>
    </row>
    <row r="946">
      <c r="B946" s="69"/>
      <c r="K946" s="71"/>
    </row>
    <row r="947">
      <c r="B947" s="69"/>
      <c r="K947" s="71"/>
    </row>
    <row r="948">
      <c r="B948" s="69"/>
      <c r="K948" s="71"/>
    </row>
    <row r="949">
      <c r="B949" s="69"/>
      <c r="K949" s="71"/>
    </row>
    <row r="950">
      <c r="B950" s="69"/>
      <c r="K950" s="71"/>
    </row>
    <row r="951">
      <c r="B951" s="69"/>
      <c r="K951" s="71"/>
    </row>
    <row r="952">
      <c r="B952" s="69"/>
      <c r="K952" s="71"/>
    </row>
    <row r="953">
      <c r="B953" s="69"/>
      <c r="K953" s="71"/>
    </row>
    <row r="954">
      <c r="B954" s="69"/>
      <c r="K954" s="71"/>
    </row>
    <row r="955">
      <c r="B955" s="69"/>
      <c r="K955" s="71"/>
    </row>
    <row r="956">
      <c r="B956" s="69"/>
      <c r="K956" s="71"/>
    </row>
    <row r="957">
      <c r="B957" s="69"/>
      <c r="K957" s="71"/>
    </row>
    <row r="958">
      <c r="B958" s="69"/>
      <c r="K958" s="71"/>
    </row>
    <row r="959">
      <c r="B959" s="69"/>
      <c r="K959" s="71"/>
    </row>
    <row r="960">
      <c r="B960" s="69"/>
      <c r="K960" s="71"/>
    </row>
    <row r="961">
      <c r="B961" s="69"/>
      <c r="K961" s="71"/>
    </row>
    <row r="962">
      <c r="B962" s="69"/>
      <c r="K962" s="71"/>
    </row>
    <row r="963">
      <c r="B963" s="69"/>
      <c r="K963" s="71"/>
    </row>
    <row r="964">
      <c r="B964" s="69"/>
      <c r="K964" s="71"/>
    </row>
    <row r="965">
      <c r="B965" s="69"/>
      <c r="K965" s="71"/>
    </row>
    <row r="966">
      <c r="B966" s="69"/>
      <c r="K966" s="71"/>
    </row>
    <row r="967">
      <c r="B967" s="69"/>
      <c r="K967" s="71"/>
    </row>
    <row r="968">
      <c r="B968" s="69"/>
      <c r="K968" s="71"/>
    </row>
    <row r="969">
      <c r="B969" s="69"/>
      <c r="K969" s="71"/>
    </row>
    <row r="970">
      <c r="B970" s="69"/>
      <c r="K970" s="71"/>
    </row>
    <row r="971">
      <c r="B971" s="69"/>
      <c r="K971" s="71"/>
    </row>
    <row r="972">
      <c r="B972" s="69"/>
      <c r="K972" s="71"/>
    </row>
    <row r="973">
      <c r="B973" s="69"/>
      <c r="K973" s="71"/>
    </row>
    <row r="974">
      <c r="B974" s="69"/>
      <c r="K974" s="71"/>
    </row>
    <row r="975">
      <c r="B975" s="69"/>
      <c r="K975" s="71"/>
    </row>
  </sheetData>
  <mergeCells count="19">
    <mergeCell ref="A1:B1"/>
    <mergeCell ref="E1:F1"/>
    <mergeCell ref="J1:K1"/>
    <mergeCell ref="A2:B2"/>
    <mergeCell ref="E2:F2"/>
    <mergeCell ref="J2:K2"/>
    <mergeCell ref="M2:N2"/>
    <mergeCell ref="M8:N8"/>
    <mergeCell ref="M9:N9"/>
    <mergeCell ref="M10:N10"/>
    <mergeCell ref="E21:F21"/>
    <mergeCell ref="E22:F22"/>
    <mergeCell ref="M3:N3"/>
    <mergeCell ref="P3:Q3"/>
    <mergeCell ref="M4:N4"/>
    <mergeCell ref="P4:Q4"/>
    <mergeCell ref="M5:N5"/>
    <mergeCell ref="M6:N6"/>
    <mergeCell ref="M7:N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5.0"/>
    <col customWidth="1" min="5" max="5" width="14.25"/>
    <col customWidth="1" min="7" max="7" width="5.5"/>
    <col customWidth="1" min="8" max="8" width="2.5"/>
    <col customWidth="1" min="9" max="9" width="2.13"/>
    <col customWidth="1" min="10" max="10" width="16.75"/>
    <col customWidth="1" min="11" max="11" width="15.25"/>
    <col customWidth="1" min="12" max="12" width="3.63"/>
    <col customWidth="1" min="15" max="15" width="3.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6"/>
      <c r="I1" s="39"/>
      <c r="J1" s="70" t="s">
        <v>29</v>
      </c>
      <c r="K1" s="2"/>
      <c r="L1" s="7"/>
      <c r="M1" s="3"/>
      <c r="N1" s="3"/>
      <c r="O1" s="7"/>
      <c r="P1" s="7"/>
      <c r="Q1" s="7"/>
    </row>
    <row r="2">
      <c r="A2" s="8" t="s">
        <v>30</v>
      </c>
      <c r="B2" s="9"/>
      <c r="C2" s="10" t="s">
        <v>4</v>
      </c>
      <c r="D2" s="4"/>
      <c r="E2" s="8" t="s">
        <v>30</v>
      </c>
      <c r="F2" s="9"/>
      <c r="G2" s="10" t="s">
        <v>4</v>
      </c>
      <c r="H2" s="7"/>
      <c r="I2" s="4"/>
      <c r="J2" s="8" t="s">
        <v>30</v>
      </c>
      <c r="K2" s="9"/>
      <c r="L2" s="4"/>
      <c r="M2" s="12" t="s">
        <v>5</v>
      </c>
      <c r="N2" s="9"/>
      <c r="O2" s="7"/>
      <c r="P2" s="3"/>
      <c r="Q2" s="3"/>
    </row>
    <row r="3">
      <c r="A3" s="13" t="s">
        <v>6</v>
      </c>
      <c r="B3" s="17">
        <v>119.41</v>
      </c>
      <c r="C3" s="15" t="s">
        <v>7</v>
      </c>
      <c r="D3" s="4"/>
      <c r="E3" s="16" t="s">
        <v>31</v>
      </c>
      <c r="F3" s="17">
        <v>4500.0</v>
      </c>
      <c r="G3" s="15" t="s">
        <v>7</v>
      </c>
      <c r="H3" s="7"/>
      <c r="I3" s="4"/>
      <c r="J3" s="80"/>
      <c r="K3" s="81"/>
      <c r="L3" s="4"/>
      <c r="M3" s="20" t="s">
        <v>9</v>
      </c>
      <c r="N3" s="9"/>
      <c r="O3" s="4"/>
      <c r="P3" s="12" t="s">
        <v>10</v>
      </c>
      <c r="Q3" s="9"/>
    </row>
    <row r="4">
      <c r="A4" s="21" t="s">
        <v>11</v>
      </c>
      <c r="B4" s="25">
        <v>109.99</v>
      </c>
      <c r="C4" s="23" t="s">
        <v>7</v>
      </c>
      <c r="D4" s="4"/>
      <c r="E4" s="24" t="s">
        <v>32</v>
      </c>
      <c r="F4" s="25">
        <v>3000.0</v>
      </c>
      <c r="G4" s="23"/>
      <c r="H4" s="7"/>
      <c r="I4" s="4"/>
      <c r="J4" s="82"/>
      <c r="K4" s="83"/>
      <c r="L4" s="4"/>
      <c r="M4" s="28">
        <f>B19</f>
        <v>6772.29</v>
      </c>
      <c r="N4" s="9"/>
      <c r="O4" s="7"/>
      <c r="P4" s="29">
        <v>0.0</v>
      </c>
    </row>
    <row r="5">
      <c r="A5" s="13" t="s">
        <v>13</v>
      </c>
      <c r="B5" s="17">
        <v>500.0</v>
      </c>
      <c r="C5" s="15" t="s">
        <v>7</v>
      </c>
      <c r="D5" s="4"/>
      <c r="E5" s="39"/>
      <c r="F5" s="40"/>
      <c r="G5" s="15"/>
      <c r="H5" s="7"/>
      <c r="I5" s="4"/>
      <c r="J5" s="80"/>
      <c r="K5" s="81"/>
      <c r="L5" s="4"/>
      <c r="M5" s="20" t="s">
        <v>1</v>
      </c>
      <c r="N5" s="9"/>
      <c r="O5" s="7"/>
      <c r="P5" s="7"/>
      <c r="Q5" s="7"/>
    </row>
    <row r="6">
      <c r="A6" s="21" t="s">
        <v>14</v>
      </c>
      <c r="B6" s="25">
        <v>1373.0</v>
      </c>
      <c r="C6" s="34" t="s">
        <v>7</v>
      </c>
      <c r="D6" s="4"/>
      <c r="E6" s="35"/>
      <c r="F6" s="36"/>
      <c r="G6" s="34"/>
      <c r="H6" s="7"/>
      <c r="I6" s="4"/>
      <c r="J6" s="82"/>
      <c r="K6" s="83"/>
      <c r="L6" s="67"/>
      <c r="M6" s="28">
        <f>F18</f>
        <v>7500</v>
      </c>
      <c r="N6" s="9"/>
      <c r="O6" s="7"/>
      <c r="P6" s="84" t="s">
        <v>33</v>
      </c>
      <c r="Q6" s="9"/>
    </row>
    <row r="7">
      <c r="A7" s="37" t="s">
        <v>15</v>
      </c>
      <c r="B7" s="31">
        <v>1260.45</v>
      </c>
      <c r="C7" s="15" t="s">
        <v>7</v>
      </c>
      <c r="D7" s="4"/>
      <c r="E7" s="39"/>
      <c r="F7" s="40"/>
      <c r="G7" s="53"/>
      <c r="H7" s="7"/>
      <c r="I7" s="4"/>
      <c r="J7" s="80"/>
      <c r="K7" s="81"/>
      <c r="M7" s="12" t="s">
        <v>16</v>
      </c>
      <c r="N7" s="9"/>
      <c r="O7" s="7"/>
      <c r="P7" s="85">
        <f>M10+M12</f>
        <v>0</v>
      </c>
    </row>
    <row r="8">
      <c r="A8" s="41" t="s">
        <v>17</v>
      </c>
      <c r="B8" s="25">
        <v>1802.52</v>
      </c>
      <c r="C8" s="34" t="s">
        <v>7</v>
      </c>
      <c r="D8" s="4"/>
      <c r="E8" s="35"/>
      <c r="F8" s="36"/>
      <c r="G8" s="34"/>
      <c r="H8" s="7"/>
      <c r="I8" s="4"/>
      <c r="J8" s="82"/>
      <c r="K8" s="86"/>
      <c r="L8" s="7"/>
      <c r="M8" s="42">
        <f>Janeiro!P4</f>
        <v>0</v>
      </c>
      <c r="O8" s="7"/>
      <c r="P8" s="7"/>
      <c r="Q8" s="7"/>
    </row>
    <row r="9">
      <c r="A9" s="43" t="s">
        <v>18</v>
      </c>
      <c r="B9" s="31">
        <v>1306.92</v>
      </c>
      <c r="C9" s="15" t="s">
        <v>7</v>
      </c>
      <c r="D9" s="4"/>
      <c r="E9" s="39"/>
      <c r="F9" s="44"/>
      <c r="G9" s="15"/>
      <c r="H9" s="7"/>
      <c r="I9" s="4"/>
      <c r="J9" s="80"/>
      <c r="K9" s="81"/>
      <c r="L9" s="7"/>
      <c r="M9" s="12" t="s">
        <v>19</v>
      </c>
      <c r="N9" s="9"/>
      <c r="O9" s="7"/>
      <c r="P9" s="7"/>
      <c r="Q9" s="7"/>
    </row>
    <row r="10">
      <c r="A10" s="41" t="s">
        <v>34</v>
      </c>
      <c r="B10" s="25">
        <v>300.0</v>
      </c>
      <c r="C10" s="34" t="s">
        <v>7</v>
      </c>
      <c r="D10" s="4"/>
      <c r="E10" s="35"/>
      <c r="F10" s="45"/>
      <c r="G10" s="46"/>
      <c r="H10" s="7"/>
      <c r="I10" s="4"/>
      <c r="J10" s="82"/>
      <c r="K10" s="83"/>
      <c r="L10" s="7"/>
      <c r="M10" s="87">
        <v>0.0</v>
      </c>
      <c r="O10" s="7"/>
      <c r="P10" s="7"/>
      <c r="Q10" s="7"/>
    </row>
    <row r="11">
      <c r="A11" s="13"/>
      <c r="B11" s="88"/>
      <c r="C11" s="49"/>
      <c r="D11" s="4"/>
      <c r="E11" s="4"/>
      <c r="F11" s="48"/>
      <c r="G11" s="49"/>
      <c r="H11" s="7"/>
      <c r="I11" s="4"/>
      <c r="J11" s="80"/>
      <c r="K11" s="81"/>
      <c r="L11" s="7"/>
      <c r="M11" s="84" t="s">
        <v>35</v>
      </c>
      <c r="N11" s="9"/>
      <c r="O11" s="7"/>
      <c r="P11" s="7"/>
      <c r="Q11" s="7"/>
    </row>
    <row r="12">
      <c r="A12" s="21"/>
      <c r="B12" s="36"/>
      <c r="C12" s="46"/>
      <c r="D12" s="4"/>
      <c r="E12" s="35"/>
      <c r="F12" s="45"/>
      <c r="G12" s="46"/>
      <c r="H12" s="7"/>
      <c r="I12" s="4"/>
      <c r="J12" s="89"/>
      <c r="K12" s="90"/>
      <c r="L12" s="7"/>
      <c r="M12" s="87">
        <f>Janeiro!M10</f>
        <v>0</v>
      </c>
      <c r="O12" s="7"/>
      <c r="P12" s="7"/>
      <c r="Q12" s="7"/>
    </row>
    <row r="13">
      <c r="A13" s="13"/>
      <c r="B13" s="88"/>
      <c r="C13" s="53"/>
      <c r="D13" s="4"/>
      <c r="E13" s="4"/>
      <c r="F13" s="48"/>
      <c r="G13" s="53"/>
      <c r="H13" s="7"/>
      <c r="I13" s="4"/>
      <c r="J13" s="91"/>
      <c r="K13" s="92"/>
      <c r="L13" s="7"/>
      <c r="M13" s="7"/>
      <c r="N13" s="7"/>
      <c r="O13" s="7"/>
      <c r="P13" s="7"/>
      <c r="Q13" s="7"/>
    </row>
    <row r="14">
      <c r="A14" s="21"/>
      <c r="B14" s="36"/>
      <c r="C14" s="46"/>
      <c r="D14" s="4"/>
      <c r="E14" s="35"/>
      <c r="F14" s="45"/>
      <c r="G14" s="46"/>
      <c r="H14" s="7"/>
      <c r="I14" s="4"/>
      <c r="J14" s="89"/>
      <c r="K14" s="90"/>
      <c r="L14" s="7"/>
      <c r="M14" s="7"/>
      <c r="N14" s="7"/>
      <c r="O14" s="7"/>
      <c r="P14" s="7"/>
      <c r="Q14" s="7"/>
    </row>
    <row r="15">
      <c r="A15" s="13"/>
      <c r="B15" s="88"/>
      <c r="C15" s="53"/>
      <c r="D15" s="4"/>
      <c r="E15" s="4"/>
      <c r="F15" s="48"/>
      <c r="G15" s="53"/>
      <c r="H15" s="7"/>
      <c r="I15" s="4"/>
      <c r="J15" s="91"/>
      <c r="K15" s="92"/>
      <c r="L15" s="7"/>
      <c r="M15" s="7"/>
      <c r="N15" s="7"/>
      <c r="O15" s="7"/>
      <c r="P15" s="7"/>
      <c r="Q15" s="7"/>
    </row>
    <row r="16">
      <c r="A16" s="21"/>
      <c r="B16" s="36"/>
      <c r="C16" s="46"/>
      <c r="D16" s="4"/>
      <c r="E16" s="35"/>
      <c r="F16" s="45"/>
      <c r="G16" s="56"/>
      <c r="H16" s="7"/>
      <c r="I16" s="4"/>
      <c r="J16" s="89"/>
      <c r="K16" s="90"/>
      <c r="L16" s="7"/>
      <c r="M16" s="7"/>
      <c r="N16" s="7"/>
      <c r="O16" s="7"/>
      <c r="P16" s="7"/>
      <c r="Q16" s="7"/>
    </row>
    <row r="17">
      <c r="A17" s="13"/>
      <c r="B17" s="88"/>
      <c r="C17" s="53"/>
      <c r="D17" s="4"/>
      <c r="E17" s="4"/>
      <c r="F17" s="48"/>
      <c r="G17" s="7"/>
      <c r="H17" s="7"/>
      <c r="I17" s="4"/>
      <c r="J17" s="93"/>
      <c r="K17" s="94"/>
      <c r="L17" s="7"/>
      <c r="M17" s="7"/>
      <c r="N17" s="7"/>
      <c r="O17" s="7"/>
      <c r="P17" s="7"/>
      <c r="Q17" s="7"/>
    </row>
    <row r="18">
      <c r="A18" s="21"/>
      <c r="B18" s="36"/>
      <c r="C18" s="56"/>
      <c r="D18" s="4"/>
      <c r="E18" s="61" t="s">
        <v>21</v>
      </c>
      <c r="F18" s="62">
        <f>SUM(F3:F17)</f>
        <v>7500</v>
      </c>
      <c r="G18" s="7"/>
      <c r="H18" s="7"/>
      <c r="I18" s="7"/>
      <c r="J18" s="63" t="s">
        <v>21</v>
      </c>
      <c r="K18" s="95">
        <f>SUM(K3:K17)</f>
        <v>0</v>
      </c>
      <c r="L18" s="7"/>
      <c r="M18" s="7"/>
      <c r="N18" s="7"/>
      <c r="O18" s="7"/>
      <c r="P18" s="7"/>
      <c r="Q18" s="7"/>
    </row>
    <row r="19">
      <c r="A19" s="63" t="s">
        <v>21</v>
      </c>
      <c r="B19" s="95">
        <f>SUM(B3:B18)</f>
        <v>6772.29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E21" s="70" t="s">
        <v>22</v>
      </c>
      <c r="F21" s="2"/>
      <c r="J21" s="96" t="s">
        <v>36</v>
      </c>
      <c r="K21" s="2"/>
      <c r="M21" s="96" t="s">
        <v>37</v>
      </c>
      <c r="N21" s="2"/>
    </row>
    <row r="22">
      <c r="E22" s="11" t="s">
        <v>23</v>
      </c>
      <c r="F22" s="2"/>
      <c r="J22" s="11" t="s">
        <v>30</v>
      </c>
      <c r="K22" s="2"/>
      <c r="M22" s="11" t="s">
        <v>30</v>
      </c>
      <c r="N22" s="2"/>
    </row>
    <row r="23">
      <c r="E23" s="18"/>
      <c r="F23" s="72"/>
      <c r="H23" s="73"/>
      <c r="I23" s="73"/>
      <c r="J23" s="32"/>
      <c r="K23" s="75"/>
      <c r="M23" s="32"/>
      <c r="N23" s="75"/>
    </row>
    <row r="24">
      <c r="E24" s="26"/>
      <c r="F24" s="74"/>
      <c r="H24" s="73"/>
      <c r="I24" s="73"/>
      <c r="J24" s="26"/>
      <c r="K24" s="74"/>
      <c r="M24" s="26"/>
      <c r="N24" s="74"/>
    </row>
    <row r="25">
      <c r="E25" s="32"/>
      <c r="F25" s="75"/>
      <c r="H25" s="73"/>
      <c r="I25" s="73"/>
      <c r="J25" s="32"/>
      <c r="K25" s="75"/>
      <c r="M25" s="32"/>
      <c r="N25" s="75"/>
    </row>
    <row r="26">
      <c r="E26" s="26"/>
      <c r="F26" s="74"/>
      <c r="H26" s="73"/>
      <c r="I26" s="73"/>
      <c r="J26" s="26"/>
      <c r="K26" s="74"/>
      <c r="M26" s="26"/>
      <c r="N26" s="74"/>
    </row>
    <row r="27">
      <c r="E27" s="32"/>
      <c r="F27" s="75"/>
      <c r="H27" s="73"/>
      <c r="I27" s="73"/>
      <c r="J27" s="32"/>
      <c r="K27" s="75"/>
      <c r="M27" s="32"/>
      <c r="N27" s="75"/>
    </row>
    <row r="28">
      <c r="E28" s="26"/>
      <c r="F28" s="74"/>
      <c r="J28" s="26"/>
      <c r="K28" s="97"/>
      <c r="M28" s="26"/>
      <c r="N28" s="97"/>
    </row>
    <row r="29">
      <c r="E29" s="32"/>
      <c r="F29" s="76"/>
      <c r="J29" s="32"/>
      <c r="K29" s="75"/>
      <c r="M29" s="32"/>
      <c r="N29" s="75"/>
    </row>
    <row r="30">
      <c r="E30" s="26"/>
      <c r="F30" s="77"/>
      <c r="J30" s="26"/>
      <c r="K30" s="74"/>
      <c r="M30" s="26"/>
      <c r="N30" s="74"/>
    </row>
    <row r="31">
      <c r="E31" s="32"/>
      <c r="F31" s="76"/>
      <c r="J31" s="32"/>
      <c r="K31" s="75"/>
      <c r="M31" s="32"/>
      <c r="N31" s="75"/>
    </row>
    <row r="32">
      <c r="E32" s="26"/>
      <c r="F32" s="26"/>
      <c r="J32" s="57"/>
      <c r="K32" s="98"/>
      <c r="M32" s="57"/>
      <c r="N32" s="98"/>
    </row>
    <row r="33">
      <c r="E33" s="32"/>
      <c r="F33" s="76"/>
      <c r="J33" s="54"/>
      <c r="K33" s="99"/>
      <c r="M33" s="54"/>
      <c r="N33" s="99"/>
    </row>
    <row r="34">
      <c r="E34" s="78" t="s">
        <v>28</v>
      </c>
      <c r="F34" s="79">
        <f>SUM(F23:F27)</f>
        <v>0</v>
      </c>
      <c r="J34" s="57"/>
      <c r="K34" s="98"/>
      <c r="M34" s="57"/>
      <c r="N34" s="98"/>
    </row>
    <row r="35">
      <c r="J35" s="54"/>
      <c r="K35" s="99"/>
      <c r="M35" s="54"/>
      <c r="N35" s="99"/>
    </row>
    <row r="36">
      <c r="J36" s="57"/>
      <c r="K36" s="98"/>
      <c r="M36" s="57"/>
      <c r="N36" s="98"/>
    </row>
    <row r="37">
      <c r="J37" s="59"/>
      <c r="K37" s="100"/>
      <c r="M37" s="59"/>
      <c r="N37" s="100"/>
    </row>
    <row r="38">
      <c r="J38" s="63" t="s">
        <v>21</v>
      </c>
      <c r="K38" s="95">
        <f>SUM(K23:K37)</f>
        <v>0</v>
      </c>
      <c r="M38" s="63" t="s">
        <v>21</v>
      </c>
      <c r="N38" s="95">
        <f>SUM(N23:N37)</f>
        <v>0</v>
      </c>
    </row>
  </sheetData>
  <mergeCells count="27">
    <mergeCell ref="A1:B1"/>
    <mergeCell ref="E1:F1"/>
    <mergeCell ref="J1:K1"/>
    <mergeCell ref="A2:B2"/>
    <mergeCell ref="E2:F2"/>
    <mergeCell ref="J2:K2"/>
    <mergeCell ref="M2:N2"/>
    <mergeCell ref="P6:Q6"/>
    <mergeCell ref="P7:Q7"/>
    <mergeCell ref="M3:N3"/>
    <mergeCell ref="P3:Q3"/>
    <mergeCell ref="M4:N4"/>
    <mergeCell ref="P4:Q4"/>
    <mergeCell ref="M5:N5"/>
    <mergeCell ref="M6:N6"/>
    <mergeCell ref="M7:N7"/>
    <mergeCell ref="E21:F21"/>
    <mergeCell ref="E22:F22"/>
    <mergeCell ref="M21:N21"/>
    <mergeCell ref="M22:N22"/>
    <mergeCell ref="M8:N8"/>
    <mergeCell ref="M9:N9"/>
    <mergeCell ref="M10:N10"/>
    <mergeCell ref="M11:N11"/>
    <mergeCell ref="M12:N12"/>
    <mergeCell ref="J21:K21"/>
    <mergeCell ref="J22:K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1.38"/>
    <col customWidth="1" min="3" max="3" width="10.5"/>
    <col customWidth="1" min="4" max="4" width="2.38"/>
    <col customWidth="1" min="5" max="5" width="11.25"/>
    <col customWidth="1" min="6" max="6" width="12.13"/>
    <col customWidth="1" min="7" max="7" width="5.63"/>
    <col customWidth="1" min="8" max="8" width="2.38"/>
    <col customWidth="1" min="9" max="9" width="16.25"/>
    <col customWidth="1" min="10" max="10" width="16.63"/>
    <col customWidth="1" min="11" max="11" width="4.5"/>
    <col customWidth="1" min="14" max="14" width="2.8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29</v>
      </c>
      <c r="J1" s="2"/>
      <c r="K1" s="7"/>
      <c r="L1" s="3"/>
      <c r="M1" s="3"/>
      <c r="N1" s="7"/>
      <c r="O1" s="7"/>
      <c r="P1" s="7"/>
    </row>
    <row r="2">
      <c r="A2" s="8" t="s">
        <v>30</v>
      </c>
      <c r="B2" s="9"/>
      <c r="C2" s="10" t="s">
        <v>4</v>
      </c>
      <c r="D2" s="4"/>
      <c r="E2" s="8" t="s">
        <v>30</v>
      </c>
      <c r="F2" s="9"/>
      <c r="G2" s="10" t="s">
        <v>4</v>
      </c>
      <c r="H2" s="4"/>
      <c r="I2" s="8" t="s">
        <v>30</v>
      </c>
      <c r="J2" s="9"/>
      <c r="K2" s="4"/>
      <c r="L2" s="12" t="s">
        <v>5</v>
      </c>
      <c r="M2" s="9"/>
      <c r="N2" s="7"/>
      <c r="O2" s="3"/>
      <c r="P2" s="3"/>
    </row>
    <row r="3">
      <c r="A3" s="13" t="s">
        <v>6</v>
      </c>
      <c r="B3" s="14">
        <v>119.41</v>
      </c>
      <c r="C3" s="15" t="s">
        <v>7</v>
      </c>
      <c r="D3" s="4"/>
      <c r="E3" s="16" t="s">
        <v>31</v>
      </c>
      <c r="F3" s="17">
        <v>4864.16</v>
      </c>
      <c r="G3" s="15" t="s">
        <v>7</v>
      </c>
      <c r="H3" s="4"/>
      <c r="I3" s="80" t="s">
        <v>38</v>
      </c>
      <c r="J3" s="81">
        <v>26.65</v>
      </c>
      <c r="K3" s="4"/>
      <c r="L3" s="20" t="s">
        <v>9</v>
      </c>
      <c r="M3" s="9"/>
      <c r="N3" s="4"/>
      <c r="O3" s="12" t="s">
        <v>10</v>
      </c>
      <c r="P3" s="9"/>
    </row>
    <row r="4">
      <c r="A4" s="21" t="s">
        <v>11</v>
      </c>
      <c r="B4" s="22">
        <v>109.99</v>
      </c>
      <c r="C4" s="23" t="s">
        <v>7</v>
      </c>
      <c r="D4" s="4"/>
      <c r="E4" s="24" t="s">
        <v>32</v>
      </c>
      <c r="F4" s="25">
        <v>3059.79</v>
      </c>
      <c r="G4" s="23"/>
      <c r="H4" s="4"/>
      <c r="I4" s="82" t="s">
        <v>39</v>
      </c>
      <c r="J4" s="83">
        <v>67.68</v>
      </c>
      <c r="L4" s="28">
        <f>B19</f>
        <v>7956.77</v>
      </c>
      <c r="M4" s="9"/>
      <c r="N4" s="7"/>
      <c r="O4" s="85">
        <f>L6-L4+L8</f>
        <v>2967.18</v>
      </c>
    </row>
    <row r="5">
      <c r="A5" s="13" t="s">
        <v>13</v>
      </c>
      <c r="B5" s="14">
        <v>500.0</v>
      </c>
      <c r="C5" s="15" t="s">
        <v>7</v>
      </c>
      <c r="D5" s="4"/>
      <c r="E5" s="30" t="s">
        <v>40</v>
      </c>
      <c r="F5" s="31">
        <v>3000.0</v>
      </c>
      <c r="G5" s="15"/>
      <c r="H5" s="4"/>
      <c r="I5" s="80" t="s">
        <v>41</v>
      </c>
      <c r="J5" s="81">
        <v>106.98</v>
      </c>
      <c r="K5" s="4"/>
      <c r="L5" s="20" t="s">
        <v>1</v>
      </c>
      <c r="M5" s="9"/>
      <c r="N5" s="7"/>
      <c r="O5" s="7"/>
      <c r="P5" s="7"/>
    </row>
    <row r="6">
      <c r="A6" s="21" t="s">
        <v>14</v>
      </c>
      <c r="B6" s="22">
        <v>1630.0</v>
      </c>
      <c r="C6" s="34" t="s">
        <v>7</v>
      </c>
      <c r="D6" s="4"/>
      <c r="E6" s="35"/>
      <c r="F6" s="36"/>
      <c r="G6" s="34"/>
      <c r="H6" s="4"/>
      <c r="I6" s="82" t="s">
        <v>39</v>
      </c>
      <c r="J6" s="83">
        <v>50.43</v>
      </c>
      <c r="K6" s="67"/>
      <c r="L6" s="28">
        <f>F18</f>
        <v>10923.95</v>
      </c>
      <c r="M6" s="9"/>
      <c r="N6" s="7"/>
      <c r="O6" s="84" t="s">
        <v>33</v>
      </c>
      <c r="P6" s="9"/>
    </row>
    <row r="7">
      <c r="A7" s="37" t="s">
        <v>15</v>
      </c>
      <c r="B7" s="38">
        <v>1277.27</v>
      </c>
      <c r="C7" s="15" t="s">
        <v>7</v>
      </c>
      <c r="D7" s="4"/>
      <c r="E7" s="30"/>
      <c r="F7" s="31"/>
      <c r="G7" s="15"/>
      <c r="H7" s="4"/>
      <c r="I7" s="80" t="s">
        <v>39</v>
      </c>
      <c r="J7" s="81">
        <v>15.0</v>
      </c>
      <c r="L7" s="12" t="s">
        <v>16</v>
      </c>
      <c r="M7" s="9"/>
      <c r="N7" s="7"/>
      <c r="O7" s="85">
        <f>L10+L12</f>
        <v>0</v>
      </c>
    </row>
    <row r="8">
      <c r="A8" s="41" t="s">
        <v>17</v>
      </c>
      <c r="B8" s="22">
        <v>3370.1</v>
      </c>
      <c r="C8" s="34" t="s">
        <v>7</v>
      </c>
      <c r="D8" s="4"/>
      <c r="E8" s="24"/>
      <c r="F8" s="25"/>
      <c r="G8" s="34"/>
      <c r="H8" s="4"/>
      <c r="I8" s="82" t="s">
        <v>42</v>
      </c>
      <c r="J8" s="83">
        <v>56.78</v>
      </c>
      <c r="K8" s="7"/>
      <c r="L8" s="42">
        <f>Fevereiro!P4</f>
        <v>0</v>
      </c>
      <c r="N8" s="7"/>
      <c r="O8" s="7"/>
      <c r="P8" s="7"/>
    </row>
    <row r="9">
      <c r="A9" s="43" t="s">
        <v>43</v>
      </c>
      <c r="B9" s="38">
        <v>950.0</v>
      </c>
      <c r="C9" s="15" t="s">
        <v>7</v>
      </c>
      <c r="D9" s="4"/>
      <c r="E9" s="30"/>
      <c r="F9" s="101"/>
      <c r="G9" s="15"/>
      <c r="H9" s="4"/>
      <c r="I9" s="80" t="s">
        <v>44</v>
      </c>
      <c r="J9" s="81">
        <v>34.27</v>
      </c>
      <c r="K9" s="7"/>
      <c r="L9" s="12" t="s">
        <v>19</v>
      </c>
      <c r="M9" s="9"/>
      <c r="N9" s="7"/>
      <c r="O9" s="7"/>
      <c r="P9" s="7"/>
    </row>
    <row r="10">
      <c r="A10" s="41" t="s">
        <v>45</v>
      </c>
      <c r="B10" s="22">
        <v>0.0</v>
      </c>
      <c r="C10" s="34" t="s">
        <v>7</v>
      </c>
      <c r="D10" s="4"/>
      <c r="E10" s="35"/>
      <c r="F10" s="45"/>
      <c r="G10" s="46"/>
      <c r="H10" s="4"/>
      <c r="I10" s="82" t="s">
        <v>46</v>
      </c>
      <c r="J10" s="83">
        <v>125.97</v>
      </c>
      <c r="K10" s="7"/>
      <c r="L10" s="87">
        <v>0.0</v>
      </c>
      <c r="N10" s="7"/>
      <c r="O10" s="7"/>
      <c r="P10" s="7"/>
    </row>
    <row r="11">
      <c r="A11" s="47"/>
      <c r="B11" s="14"/>
      <c r="C11" s="49"/>
      <c r="D11" s="4"/>
      <c r="E11" s="4"/>
      <c r="F11" s="48"/>
      <c r="G11" s="49"/>
      <c r="H11" s="4"/>
      <c r="I11" s="80" t="s">
        <v>47</v>
      </c>
      <c r="J11" s="81">
        <v>127.49</v>
      </c>
      <c r="K11" s="7"/>
      <c r="L11" s="84" t="s">
        <v>35</v>
      </c>
      <c r="M11" s="9"/>
      <c r="N11" s="7"/>
      <c r="O11" s="7"/>
      <c r="P11" s="7"/>
    </row>
    <row r="12">
      <c r="A12" s="21"/>
      <c r="B12" s="36"/>
      <c r="C12" s="46"/>
      <c r="D12" s="4"/>
      <c r="E12" s="35"/>
      <c r="F12" s="45"/>
      <c r="G12" s="46"/>
      <c r="H12" s="4"/>
      <c r="I12" s="82" t="s">
        <v>48</v>
      </c>
      <c r="J12" s="83">
        <v>146.64</v>
      </c>
      <c r="K12" s="7"/>
      <c r="L12" s="42">
        <v>0.0</v>
      </c>
      <c r="N12" s="7"/>
      <c r="O12" s="7"/>
      <c r="P12" s="7"/>
    </row>
    <row r="13">
      <c r="A13" s="13"/>
      <c r="B13" s="88"/>
      <c r="C13" s="53"/>
      <c r="D13" s="4"/>
      <c r="E13" s="4"/>
      <c r="F13" s="48"/>
      <c r="G13" s="53"/>
      <c r="H13" s="4"/>
      <c r="I13" s="80" t="s">
        <v>49</v>
      </c>
      <c r="J13" s="81">
        <v>111.65</v>
      </c>
      <c r="K13" s="7"/>
      <c r="L13" s="7"/>
      <c r="M13" s="7"/>
      <c r="N13" s="7"/>
      <c r="O13" s="7"/>
      <c r="P13" s="7"/>
    </row>
    <row r="14">
      <c r="A14" s="21"/>
      <c r="B14" s="36"/>
      <c r="C14" s="46"/>
      <c r="D14" s="4"/>
      <c r="E14" s="35"/>
      <c r="F14" s="45"/>
      <c r="G14" s="46"/>
      <c r="H14" s="4"/>
      <c r="I14" s="82" t="s">
        <v>50</v>
      </c>
      <c r="J14" s="83">
        <v>99.98</v>
      </c>
      <c r="K14" s="7"/>
      <c r="L14" s="7"/>
      <c r="M14" s="7"/>
      <c r="N14" s="7"/>
      <c r="O14" s="7"/>
      <c r="P14" s="7"/>
    </row>
    <row r="15">
      <c r="A15" s="13"/>
      <c r="B15" s="88"/>
      <c r="C15" s="53"/>
      <c r="D15" s="4"/>
      <c r="E15" s="4"/>
      <c r="F15" s="48"/>
      <c r="G15" s="53"/>
      <c r="H15" s="4"/>
      <c r="I15" s="80" t="s">
        <v>51</v>
      </c>
      <c r="J15" s="81">
        <v>20.03</v>
      </c>
      <c r="K15" s="7"/>
      <c r="L15" s="7"/>
      <c r="M15" s="7"/>
      <c r="N15" s="7"/>
      <c r="O15" s="7"/>
      <c r="P15" s="7"/>
    </row>
    <row r="16">
      <c r="A16" s="21"/>
      <c r="B16" s="36"/>
      <c r="C16" s="46"/>
      <c r="D16" s="4"/>
      <c r="E16" s="35"/>
      <c r="F16" s="45"/>
      <c r="G16" s="56"/>
      <c r="H16" s="4"/>
      <c r="I16" s="82" t="s">
        <v>52</v>
      </c>
      <c r="J16" s="83">
        <v>1133.33</v>
      </c>
      <c r="K16" s="7"/>
      <c r="L16" s="7"/>
      <c r="M16" s="7"/>
      <c r="N16" s="7"/>
      <c r="O16" s="7"/>
      <c r="P16" s="7"/>
    </row>
    <row r="17">
      <c r="A17" s="13"/>
      <c r="B17" s="88"/>
      <c r="C17" s="53"/>
      <c r="D17" s="4"/>
      <c r="E17" s="4"/>
      <c r="F17" s="48"/>
      <c r="G17" s="7"/>
      <c r="H17" s="4"/>
      <c r="I17" s="102" t="s">
        <v>53</v>
      </c>
      <c r="J17" s="103">
        <v>265.0</v>
      </c>
      <c r="K17" s="7"/>
      <c r="L17" s="7"/>
      <c r="M17" s="7"/>
      <c r="N17" s="7"/>
      <c r="O17" s="7"/>
      <c r="P17" s="7"/>
    </row>
    <row r="18">
      <c r="A18" s="21"/>
      <c r="B18" s="36"/>
      <c r="C18" s="56"/>
      <c r="D18" s="4"/>
      <c r="E18" s="61" t="s">
        <v>21</v>
      </c>
      <c r="F18" s="62">
        <f>SUM(F3:F17)</f>
        <v>10923.95</v>
      </c>
      <c r="G18" s="7"/>
      <c r="H18" s="7"/>
      <c r="I18" s="82" t="s">
        <v>54</v>
      </c>
      <c r="J18" s="83">
        <v>80.46</v>
      </c>
      <c r="K18" s="7"/>
      <c r="L18" s="7"/>
      <c r="M18" s="7"/>
      <c r="N18" s="7"/>
      <c r="O18" s="7"/>
      <c r="P18" s="7"/>
    </row>
    <row r="19">
      <c r="A19" s="63" t="s">
        <v>21</v>
      </c>
      <c r="B19" s="95">
        <f>SUM(B3:B18)</f>
        <v>7956.77</v>
      </c>
      <c r="C19" s="7"/>
      <c r="D19" s="7"/>
      <c r="E19" s="7"/>
      <c r="F19" s="7"/>
      <c r="G19" s="7"/>
      <c r="H19" s="7"/>
      <c r="I19" s="63" t="s">
        <v>21</v>
      </c>
      <c r="J19" s="95">
        <f>SUM(J3:J18)</f>
        <v>2468.34</v>
      </c>
      <c r="K19" s="7"/>
      <c r="L19" s="7"/>
      <c r="M19" s="7"/>
      <c r="N19" s="7"/>
      <c r="O19" s="7"/>
      <c r="P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104"/>
      <c r="K20" s="7"/>
      <c r="L20" s="7"/>
      <c r="M20" s="7"/>
      <c r="N20" s="7"/>
    </row>
    <row r="21">
      <c r="E21" s="70" t="s">
        <v>22</v>
      </c>
      <c r="F21" s="2"/>
      <c r="I21" s="96" t="s">
        <v>36</v>
      </c>
      <c r="J21" s="2"/>
      <c r="L21" s="96" t="s">
        <v>37</v>
      </c>
      <c r="M21" s="2"/>
    </row>
    <row r="22">
      <c r="E22" s="11" t="s">
        <v>23</v>
      </c>
      <c r="F22" s="2"/>
      <c r="I22" s="11" t="s">
        <v>30</v>
      </c>
      <c r="J22" s="2"/>
      <c r="L22" s="11" t="s">
        <v>30</v>
      </c>
      <c r="M22" s="2"/>
    </row>
    <row r="23">
      <c r="E23" s="18"/>
      <c r="F23" s="72"/>
      <c r="H23" s="73"/>
      <c r="I23" s="32" t="s">
        <v>55</v>
      </c>
      <c r="J23" s="75">
        <v>175.48</v>
      </c>
      <c r="L23" s="32" t="s">
        <v>56</v>
      </c>
      <c r="M23" s="75">
        <v>131.83</v>
      </c>
    </row>
    <row r="24">
      <c r="E24" s="26"/>
      <c r="F24" s="74"/>
      <c r="H24" s="73"/>
      <c r="I24" s="26" t="s">
        <v>57</v>
      </c>
      <c r="J24" s="74">
        <v>264.59</v>
      </c>
      <c r="L24" s="26" t="s">
        <v>58</v>
      </c>
      <c r="M24" s="74">
        <v>111.79</v>
      </c>
    </row>
    <row r="25">
      <c r="E25" s="32"/>
      <c r="F25" s="75"/>
      <c r="H25" s="73"/>
      <c r="I25" s="32" t="s">
        <v>59</v>
      </c>
      <c r="J25" s="75">
        <v>111.81</v>
      </c>
      <c r="L25" s="32" t="s">
        <v>60</v>
      </c>
      <c r="M25" s="75">
        <v>153.47</v>
      </c>
    </row>
    <row r="26">
      <c r="E26" s="26"/>
      <c r="F26" s="74"/>
      <c r="H26" s="73"/>
      <c r="I26" s="26" t="s">
        <v>61</v>
      </c>
      <c r="J26" s="74">
        <v>142.45</v>
      </c>
      <c r="L26" s="26" t="s">
        <v>62</v>
      </c>
      <c r="M26" s="74">
        <v>17.25</v>
      </c>
    </row>
    <row r="27">
      <c r="E27" s="32"/>
      <c r="F27" s="75"/>
      <c r="H27" s="73"/>
      <c r="I27" s="32" t="s">
        <v>63</v>
      </c>
      <c r="J27" s="75">
        <v>40.92</v>
      </c>
      <c r="L27" s="32"/>
      <c r="M27" s="75"/>
    </row>
    <row r="28">
      <c r="E28" s="26"/>
      <c r="F28" s="74"/>
      <c r="I28" s="26"/>
      <c r="J28" s="74"/>
      <c r="L28" s="26"/>
      <c r="M28" s="97"/>
    </row>
    <row r="29">
      <c r="E29" s="32"/>
      <c r="F29" s="76"/>
      <c r="I29" s="32"/>
      <c r="J29" s="75"/>
      <c r="L29" s="32"/>
      <c r="M29" s="75"/>
    </row>
    <row r="30">
      <c r="E30" s="26"/>
      <c r="F30" s="77"/>
      <c r="I30" s="26"/>
      <c r="J30" s="74"/>
      <c r="L30" s="26"/>
      <c r="M30" s="74"/>
    </row>
    <row r="31">
      <c r="E31" s="32"/>
      <c r="F31" s="76"/>
      <c r="I31" s="32"/>
      <c r="J31" s="75"/>
      <c r="L31" s="32"/>
      <c r="M31" s="75"/>
    </row>
    <row r="32">
      <c r="E32" s="26"/>
      <c r="F32" s="26"/>
      <c r="I32" s="57"/>
      <c r="J32" s="98"/>
      <c r="L32" s="57"/>
      <c r="M32" s="98"/>
    </row>
    <row r="33">
      <c r="E33" s="32"/>
      <c r="F33" s="76"/>
      <c r="I33" s="54"/>
      <c r="J33" s="99"/>
      <c r="L33" s="54"/>
      <c r="M33" s="99"/>
    </row>
    <row r="34">
      <c r="E34" s="78" t="s">
        <v>28</v>
      </c>
      <c r="F34" s="79">
        <f>SUM(F23:F27)</f>
        <v>0</v>
      </c>
      <c r="I34" s="57"/>
      <c r="J34" s="98"/>
      <c r="L34" s="57"/>
      <c r="M34" s="98"/>
    </row>
    <row r="35">
      <c r="I35" s="54"/>
      <c r="J35" s="99"/>
      <c r="L35" s="54"/>
      <c r="M35" s="99"/>
    </row>
    <row r="36">
      <c r="I36" s="57"/>
      <c r="J36" s="98"/>
      <c r="L36" s="57"/>
      <c r="M36" s="98"/>
    </row>
    <row r="37">
      <c r="I37" s="59"/>
      <c r="J37" s="100"/>
      <c r="L37" s="59"/>
      <c r="M37" s="100"/>
    </row>
    <row r="38">
      <c r="I38" s="63" t="s">
        <v>21</v>
      </c>
      <c r="J38" s="95">
        <f>SUM(J23:J37)</f>
        <v>735.25</v>
      </c>
      <c r="L38" s="63" t="s">
        <v>21</v>
      </c>
      <c r="M38" s="95">
        <f>SUM(M23:M37)</f>
        <v>414.34</v>
      </c>
    </row>
    <row r="39">
      <c r="J39" s="105"/>
    </row>
    <row r="40">
      <c r="J40" s="105"/>
    </row>
    <row r="41">
      <c r="J41" s="105"/>
    </row>
    <row r="42">
      <c r="J42" s="105"/>
    </row>
    <row r="43">
      <c r="J43" s="105"/>
    </row>
    <row r="44">
      <c r="J44" s="105"/>
    </row>
    <row r="45">
      <c r="J45" s="105"/>
    </row>
    <row r="46">
      <c r="J46" s="105"/>
    </row>
    <row r="47">
      <c r="J47" s="105"/>
    </row>
    <row r="48">
      <c r="J48" s="105"/>
    </row>
    <row r="49">
      <c r="J49" s="105"/>
    </row>
    <row r="50">
      <c r="J50" s="105"/>
    </row>
    <row r="51">
      <c r="J51" s="105"/>
    </row>
    <row r="52">
      <c r="J52" s="105"/>
    </row>
    <row r="53">
      <c r="J53" s="105"/>
    </row>
    <row r="54">
      <c r="J54" s="105"/>
    </row>
    <row r="55">
      <c r="J55" s="105"/>
    </row>
    <row r="56">
      <c r="J56" s="105"/>
    </row>
    <row r="57">
      <c r="J57" s="105"/>
    </row>
    <row r="58">
      <c r="J58" s="105"/>
    </row>
    <row r="59">
      <c r="J59" s="105"/>
    </row>
    <row r="60">
      <c r="J60" s="105"/>
    </row>
    <row r="61">
      <c r="J61" s="105"/>
    </row>
    <row r="62">
      <c r="J62" s="105"/>
    </row>
    <row r="63">
      <c r="J63" s="105"/>
    </row>
    <row r="64">
      <c r="J64" s="105"/>
    </row>
    <row r="65">
      <c r="J65" s="105"/>
    </row>
    <row r="66">
      <c r="J66" s="105"/>
    </row>
    <row r="67">
      <c r="J67" s="105"/>
    </row>
    <row r="68">
      <c r="J68" s="105"/>
    </row>
    <row r="69">
      <c r="J69" s="105"/>
    </row>
    <row r="70">
      <c r="J70" s="105"/>
    </row>
    <row r="71">
      <c r="J71" s="105"/>
    </row>
    <row r="72">
      <c r="J72" s="105"/>
    </row>
    <row r="73">
      <c r="J73" s="105"/>
    </row>
    <row r="74">
      <c r="J74" s="105"/>
    </row>
    <row r="75">
      <c r="J75" s="105"/>
    </row>
    <row r="76">
      <c r="J76" s="105"/>
    </row>
    <row r="77">
      <c r="J77" s="105"/>
    </row>
    <row r="78">
      <c r="J78" s="105"/>
    </row>
    <row r="79">
      <c r="J79" s="105"/>
    </row>
    <row r="80">
      <c r="J80" s="105"/>
    </row>
    <row r="81">
      <c r="J81" s="105"/>
    </row>
    <row r="82">
      <c r="J82" s="105"/>
    </row>
    <row r="83">
      <c r="J83" s="105"/>
    </row>
    <row r="84">
      <c r="J84" s="105"/>
    </row>
    <row r="85">
      <c r="J85" s="105"/>
    </row>
    <row r="86">
      <c r="J86" s="105"/>
    </row>
    <row r="87">
      <c r="J87" s="105"/>
    </row>
    <row r="88">
      <c r="J88" s="105"/>
    </row>
    <row r="89">
      <c r="J89" s="105"/>
    </row>
    <row r="90">
      <c r="J90" s="105"/>
    </row>
    <row r="91">
      <c r="J91" s="105"/>
    </row>
    <row r="92">
      <c r="J92" s="105"/>
    </row>
    <row r="93">
      <c r="J93" s="105"/>
    </row>
    <row r="94">
      <c r="J94" s="105"/>
    </row>
    <row r="95">
      <c r="J95" s="105"/>
    </row>
    <row r="96">
      <c r="J96" s="105"/>
    </row>
    <row r="97">
      <c r="J97" s="105"/>
    </row>
    <row r="98">
      <c r="J98" s="105"/>
    </row>
    <row r="99">
      <c r="J99" s="105"/>
    </row>
    <row r="100">
      <c r="J100" s="105"/>
    </row>
    <row r="101">
      <c r="J101" s="105"/>
    </row>
    <row r="102">
      <c r="J102" s="105"/>
    </row>
    <row r="103">
      <c r="J103" s="105"/>
    </row>
    <row r="104">
      <c r="J104" s="105"/>
    </row>
    <row r="105">
      <c r="J105" s="105"/>
    </row>
    <row r="106">
      <c r="J106" s="105"/>
    </row>
    <row r="107">
      <c r="J107" s="105"/>
    </row>
    <row r="108">
      <c r="J108" s="105"/>
    </row>
    <row r="109">
      <c r="J109" s="105"/>
    </row>
    <row r="110">
      <c r="J110" s="105"/>
    </row>
    <row r="111">
      <c r="J111" s="105"/>
    </row>
    <row r="112">
      <c r="J112" s="105"/>
    </row>
    <row r="113">
      <c r="J113" s="105"/>
    </row>
    <row r="114">
      <c r="J114" s="105"/>
    </row>
    <row r="115">
      <c r="J115" s="105"/>
    </row>
    <row r="116">
      <c r="J116" s="105"/>
    </row>
    <row r="117">
      <c r="J117" s="105"/>
    </row>
    <row r="118">
      <c r="J118" s="105"/>
    </row>
    <row r="119">
      <c r="J119" s="105"/>
    </row>
    <row r="120">
      <c r="J120" s="105"/>
    </row>
    <row r="121">
      <c r="J121" s="105"/>
    </row>
    <row r="122">
      <c r="J122" s="105"/>
    </row>
    <row r="123">
      <c r="J123" s="105"/>
    </row>
    <row r="124">
      <c r="J124" s="105"/>
    </row>
    <row r="125">
      <c r="J125" s="105"/>
    </row>
    <row r="126">
      <c r="J126" s="105"/>
    </row>
    <row r="127">
      <c r="J127" s="105"/>
    </row>
    <row r="128">
      <c r="J128" s="105"/>
    </row>
    <row r="129">
      <c r="J129" s="105"/>
    </row>
    <row r="130">
      <c r="J130" s="105"/>
    </row>
    <row r="131">
      <c r="J131" s="105"/>
    </row>
    <row r="132">
      <c r="J132" s="105"/>
    </row>
    <row r="133">
      <c r="J133" s="105"/>
    </row>
    <row r="134">
      <c r="J134" s="105"/>
    </row>
    <row r="135">
      <c r="J135" s="105"/>
    </row>
    <row r="136">
      <c r="J136" s="105"/>
    </row>
    <row r="137">
      <c r="J137" s="105"/>
    </row>
    <row r="138">
      <c r="J138" s="105"/>
    </row>
    <row r="139">
      <c r="J139" s="105"/>
    </row>
    <row r="140">
      <c r="J140" s="105"/>
    </row>
    <row r="141">
      <c r="J141" s="105"/>
    </row>
    <row r="142">
      <c r="J142" s="105"/>
    </row>
    <row r="143">
      <c r="J143" s="105"/>
    </row>
    <row r="144">
      <c r="J144" s="105"/>
    </row>
    <row r="145">
      <c r="J145" s="105"/>
    </row>
    <row r="146">
      <c r="J146" s="105"/>
    </row>
    <row r="147">
      <c r="J147" s="105"/>
    </row>
    <row r="148">
      <c r="J148" s="105"/>
    </row>
    <row r="149">
      <c r="J149" s="105"/>
    </row>
    <row r="150">
      <c r="J150" s="105"/>
    </row>
    <row r="151">
      <c r="J151" s="105"/>
    </row>
    <row r="152">
      <c r="J152" s="105"/>
    </row>
    <row r="153">
      <c r="J153" s="105"/>
    </row>
    <row r="154">
      <c r="J154" s="105"/>
    </row>
    <row r="155">
      <c r="J155" s="105"/>
    </row>
    <row r="156">
      <c r="J156" s="105"/>
    </row>
    <row r="157">
      <c r="J157" s="105"/>
    </row>
    <row r="158">
      <c r="J158" s="105"/>
    </row>
    <row r="159">
      <c r="J159" s="105"/>
    </row>
    <row r="160">
      <c r="J160" s="105"/>
    </row>
    <row r="161">
      <c r="J161" s="105"/>
    </row>
    <row r="162">
      <c r="J162" s="105"/>
    </row>
    <row r="163">
      <c r="J163" s="105"/>
    </row>
    <row r="164">
      <c r="J164" s="105"/>
    </row>
    <row r="165">
      <c r="J165" s="105"/>
    </row>
    <row r="166">
      <c r="J166" s="105"/>
    </row>
    <row r="167">
      <c r="J167" s="105"/>
    </row>
    <row r="168">
      <c r="J168" s="105"/>
    </row>
    <row r="169">
      <c r="J169" s="105"/>
    </row>
    <row r="170">
      <c r="J170" s="105"/>
    </row>
    <row r="171">
      <c r="J171" s="105"/>
    </row>
    <row r="172">
      <c r="J172" s="105"/>
    </row>
    <row r="173">
      <c r="J173" s="105"/>
    </row>
    <row r="174">
      <c r="J174" s="105"/>
    </row>
    <row r="175">
      <c r="J175" s="105"/>
    </row>
    <row r="176">
      <c r="J176" s="105"/>
    </row>
    <row r="177">
      <c r="J177" s="105"/>
    </row>
    <row r="178">
      <c r="J178" s="105"/>
    </row>
    <row r="179">
      <c r="J179" s="105"/>
    </row>
    <row r="180">
      <c r="J180" s="105"/>
    </row>
    <row r="181">
      <c r="J181" s="105"/>
    </row>
    <row r="182">
      <c r="J182" s="105"/>
    </row>
    <row r="183">
      <c r="J183" s="105"/>
    </row>
    <row r="184">
      <c r="J184" s="105"/>
    </row>
    <row r="185">
      <c r="J185" s="105"/>
    </row>
    <row r="186">
      <c r="J186" s="105"/>
    </row>
    <row r="187">
      <c r="J187" s="105"/>
    </row>
    <row r="188">
      <c r="J188" s="105"/>
    </row>
    <row r="189">
      <c r="J189" s="105"/>
    </row>
    <row r="190">
      <c r="J190" s="105"/>
    </row>
    <row r="191">
      <c r="J191" s="105"/>
    </row>
    <row r="192">
      <c r="J192" s="105"/>
    </row>
    <row r="193">
      <c r="J193" s="105"/>
    </row>
    <row r="194">
      <c r="J194" s="105"/>
    </row>
    <row r="195">
      <c r="J195" s="105"/>
    </row>
    <row r="196">
      <c r="J196" s="105"/>
    </row>
    <row r="197">
      <c r="J197" s="105"/>
    </row>
    <row r="198">
      <c r="J198" s="105"/>
    </row>
    <row r="199">
      <c r="J199" s="105"/>
    </row>
    <row r="200">
      <c r="J200" s="105"/>
    </row>
    <row r="201">
      <c r="J201" s="105"/>
    </row>
    <row r="202">
      <c r="J202" s="105"/>
    </row>
    <row r="203">
      <c r="J203" s="105"/>
    </row>
    <row r="204">
      <c r="J204" s="105"/>
    </row>
    <row r="205">
      <c r="J205" s="105"/>
    </row>
    <row r="206">
      <c r="J206" s="105"/>
    </row>
    <row r="207">
      <c r="J207" s="105"/>
    </row>
    <row r="208">
      <c r="J208" s="105"/>
    </row>
    <row r="209">
      <c r="J209" s="105"/>
    </row>
    <row r="210">
      <c r="J210" s="105"/>
    </row>
    <row r="211">
      <c r="J211" s="105"/>
    </row>
    <row r="212">
      <c r="J212" s="105"/>
    </row>
    <row r="213">
      <c r="J213" s="105"/>
    </row>
    <row r="214">
      <c r="J214" s="105"/>
    </row>
    <row r="215">
      <c r="J215" s="105"/>
    </row>
    <row r="216">
      <c r="J216" s="105"/>
    </row>
    <row r="217">
      <c r="J217" s="105"/>
    </row>
    <row r="218">
      <c r="J218" s="105"/>
    </row>
    <row r="219">
      <c r="J219" s="105"/>
    </row>
    <row r="220">
      <c r="J220" s="105"/>
    </row>
    <row r="221">
      <c r="J221" s="105"/>
    </row>
    <row r="222">
      <c r="J222" s="105"/>
    </row>
    <row r="223">
      <c r="J223" s="105"/>
    </row>
    <row r="224">
      <c r="J224" s="105"/>
    </row>
    <row r="225">
      <c r="J225" s="105"/>
    </row>
    <row r="226">
      <c r="J226" s="105"/>
    </row>
    <row r="227">
      <c r="J227" s="105"/>
    </row>
    <row r="228">
      <c r="J228" s="105"/>
    </row>
    <row r="229">
      <c r="J229" s="105"/>
    </row>
    <row r="230">
      <c r="J230" s="105"/>
    </row>
    <row r="231">
      <c r="J231" s="105"/>
    </row>
    <row r="232">
      <c r="J232" s="105"/>
    </row>
    <row r="233">
      <c r="J233" s="105"/>
    </row>
    <row r="234">
      <c r="J234" s="105"/>
    </row>
    <row r="235">
      <c r="J235" s="105"/>
    </row>
    <row r="236">
      <c r="J236" s="105"/>
    </row>
    <row r="237">
      <c r="J237" s="105"/>
    </row>
    <row r="238">
      <c r="J238" s="105"/>
    </row>
    <row r="239">
      <c r="J239" s="105"/>
    </row>
    <row r="240">
      <c r="J240" s="105"/>
    </row>
    <row r="241">
      <c r="J241" s="105"/>
    </row>
    <row r="242">
      <c r="J242" s="105"/>
    </row>
    <row r="243">
      <c r="J243" s="105"/>
    </row>
    <row r="244">
      <c r="J244" s="105"/>
    </row>
    <row r="245">
      <c r="J245" s="105"/>
    </row>
    <row r="246">
      <c r="J246" s="105"/>
    </row>
    <row r="247">
      <c r="J247" s="105"/>
    </row>
    <row r="248">
      <c r="J248" s="105"/>
    </row>
    <row r="249">
      <c r="J249" s="105"/>
    </row>
    <row r="250">
      <c r="J250" s="105"/>
    </row>
    <row r="251">
      <c r="J251" s="105"/>
    </row>
    <row r="252">
      <c r="J252" s="105"/>
    </row>
    <row r="253">
      <c r="J253" s="105"/>
    </row>
    <row r="254">
      <c r="J254" s="105"/>
    </row>
    <row r="255">
      <c r="J255" s="105"/>
    </row>
    <row r="256">
      <c r="J256" s="105"/>
    </row>
    <row r="257">
      <c r="J257" s="105"/>
    </row>
    <row r="258">
      <c r="J258" s="105"/>
    </row>
    <row r="259">
      <c r="J259" s="105"/>
    </row>
    <row r="260">
      <c r="J260" s="105"/>
    </row>
    <row r="261">
      <c r="J261" s="105"/>
    </row>
    <row r="262">
      <c r="J262" s="105"/>
    </row>
    <row r="263">
      <c r="J263" s="105"/>
    </row>
    <row r="264">
      <c r="J264" s="105"/>
    </row>
    <row r="265">
      <c r="J265" s="105"/>
    </row>
    <row r="266">
      <c r="J266" s="105"/>
    </row>
    <row r="267">
      <c r="J267" s="105"/>
    </row>
    <row r="268">
      <c r="J268" s="105"/>
    </row>
    <row r="269">
      <c r="J269" s="105"/>
    </row>
    <row r="270">
      <c r="J270" s="105"/>
    </row>
    <row r="271">
      <c r="J271" s="105"/>
    </row>
    <row r="272">
      <c r="J272" s="105"/>
    </row>
    <row r="273">
      <c r="J273" s="105"/>
    </row>
    <row r="274">
      <c r="J274" s="105"/>
    </row>
    <row r="275">
      <c r="J275" s="105"/>
    </row>
    <row r="276">
      <c r="J276" s="105"/>
    </row>
    <row r="277">
      <c r="J277" s="105"/>
    </row>
    <row r="278">
      <c r="J278" s="105"/>
    </row>
    <row r="279">
      <c r="J279" s="105"/>
    </row>
    <row r="280">
      <c r="J280" s="105"/>
    </row>
    <row r="281">
      <c r="J281" s="105"/>
    </row>
    <row r="282">
      <c r="J282" s="105"/>
    </row>
    <row r="283">
      <c r="J283" s="105"/>
    </row>
    <row r="284">
      <c r="J284" s="105"/>
    </row>
    <row r="285">
      <c r="J285" s="105"/>
    </row>
    <row r="286">
      <c r="J286" s="105"/>
    </row>
    <row r="287">
      <c r="J287" s="105"/>
    </row>
    <row r="288">
      <c r="J288" s="105"/>
    </row>
    <row r="289">
      <c r="J289" s="105"/>
    </row>
    <row r="290">
      <c r="J290" s="105"/>
    </row>
    <row r="291">
      <c r="J291" s="105"/>
    </row>
    <row r="292">
      <c r="J292" s="105"/>
    </row>
    <row r="293">
      <c r="J293" s="105"/>
    </row>
    <row r="294">
      <c r="J294" s="105"/>
    </row>
    <row r="295">
      <c r="J295" s="105"/>
    </row>
    <row r="296">
      <c r="J296" s="105"/>
    </row>
    <row r="297">
      <c r="J297" s="105"/>
    </row>
    <row r="298">
      <c r="J298" s="105"/>
    </row>
    <row r="299">
      <c r="J299" s="105"/>
    </row>
    <row r="300">
      <c r="J300" s="105"/>
    </row>
    <row r="301">
      <c r="J301" s="105"/>
    </row>
    <row r="302">
      <c r="J302" s="105"/>
    </row>
    <row r="303">
      <c r="J303" s="105"/>
    </row>
    <row r="304">
      <c r="J304" s="105"/>
    </row>
    <row r="305">
      <c r="J305" s="105"/>
    </row>
    <row r="306">
      <c r="J306" s="105"/>
    </row>
    <row r="307">
      <c r="J307" s="105"/>
    </row>
    <row r="308">
      <c r="J308" s="105"/>
    </row>
    <row r="309">
      <c r="J309" s="105"/>
    </row>
    <row r="310">
      <c r="J310" s="105"/>
    </row>
    <row r="311">
      <c r="J311" s="105"/>
    </row>
    <row r="312">
      <c r="J312" s="105"/>
    </row>
    <row r="313">
      <c r="J313" s="105"/>
    </row>
    <row r="314">
      <c r="J314" s="105"/>
    </row>
    <row r="315">
      <c r="J315" s="105"/>
    </row>
    <row r="316">
      <c r="J316" s="105"/>
    </row>
    <row r="317">
      <c r="J317" s="105"/>
    </row>
    <row r="318">
      <c r="J318" s="105"/>
    </row>
    <row r="319">
      <c r="J319" s="105"/>
    </row>
    <row r="320">
      <c r="J320" s="105"/>
    </row>
    <row r="321">
      <c r="J321" s="105"/>
    </row>
    <row r="322">
      <c r="J322" s="105"/>
    </row>
    <row r="323">
      <c r="J323" s="105"/>
    </row>
    <row r="324">
      <c r="J324" s="105"/>
    </row>
    <row r="325">
      <c r="J325" s="105"/>
    </row>
    <row r="326">
      <c r="J326" s="105"/>
    </row>
    <row r="327">
      <c r="J327" s="105"/>
    </row>
    <row r="328">
      <c r="J328" s="105"/>
    </row>
    <row r="329">
      <c r="J329" s="105"/>
    </row>
    <row r="330">
      <c r="J330" s="105"/>
    </row>
    <row r="331">
      <c r="J331" s="105"/>
    </row>
    <row r="332">
      <c r="J332" s="105"/>
    </row>
    <row r="333">
      <c r="J333" s="105"/>
    </row>
    <row r="334">
      <c r="J334" s="105"/>
    </row>
    <row r="335">
      <c r="J335" s="105"/>
    </row>
    <row r="336">
      <c r="J336" s="105"/>
    </row>
    <row r="337">
      <c r="J337" s="105"/>
    </row>
    <row r="338">
      <c r="J338" s="105"/>
    </row>
    <row r="339">
      <c r="J339" s="105"/>
    </row>
    <row r="340">
      <c r="J340" s="105"/>
    </row>
    <row r="341">
      <c r="J341" s="105"/>
    </row>
    <row r="342">
      <c r="J342" s="105"/>
    </row>
    <row r="343">
      <c r="J343" s="105"/>
    </row>
    <row r="344">
      <c r="J344" s="105"/>
    </row>
    <row r="345">
      <c r="J345" s="105"/>
    </row>
    <row r="346">
      <c r="J346" s="105"/>
    </row>
    <row r="347">
      <c r="J347" s="105"/>
    </row>
    <row r="348">
      <c r="J348" s="105"/>
    </row>
    <row r="349">
      <c r="J349" s="105"/>
    </row>
    <row r="350">
      <c r="J350" s="105"/>
    </row>
    <row r="351">
      <c r="J351" s="105"/>
    </row>
    <row r="352">
      <c r="J352" s="105"/>
    </row>
    <row r="353">
      <c r="J353" s="105"/>
    </row>
    <row r="354">
      <c r="J354" s="105"/>
    </row>
    <row r="355">
      <c r="J355" s="105"/>
    </row>
    <row r="356">
      <c r="J356" s="105"/>
    </row>
    <row r="357">
      <c r="J357" s="105"/>
    </row>
    <row r="358">
      <c r="J358" s="105"/>
    </row>
    <row r="359">
      <c r="J359" s="105"/>
    </row>
    <row r="360">
      <c r="J360" s="105"/>
    </row>
    <row r="361">
      <c r="J361" s="105"/>
    </row>
    <row r="362">
      <c r="J362" s="105"/>
    </row>
    <row r="363">
      <c r="J363" s="105"/>
    </row>
    <row r="364">
      <c r="J364" s="105"/>
    </row>
    <row r="365">
      <c r="J365" s="105"/>
    </row>
    <row r="366">
      <c r="J366" s="105"/>
    </row>
    <row r="367">
      <c r="J367" s="105"/>
    </row>
    <row r="368">
      <c r="J368" s="105"/>
    </row>
    <row r="369">
      <c r="J369" s="105"/>
    </row>
    <row r="370">
      <c r="J370" s="105"/>
    </row>
    <row r="371">
      <c r="J371" s="105"/>
    </row>
    <row r="372">
      <c r="J372" s="105"/>
    </row>
    <row r="373">
      <c r="J373" s="105"/>
    </row>
    <row r="374">
      <c r="J374" s="105"/>
    </row>
    <row r="375">
      <c r="J375" s="105"/>
    </row>
    <row r="376">
      <c r="J376" s="105"/>
    </row>
    <row r="377">
      <c r="J377" s="105"/>
    </row>
    <row r="378">
      <c r="J378" s="105"/>
    </row>
    <row r="379">
      <c r="J379" s="105"/>
    </row>
    <row r="380">
      <c r="J380" s="105"/>
    </row>
    <row r="381">
      <c r="J381" s="105"/>
    </row>
    <row r="382">
      <c r="J382" s="105"/>
    </row>
    <row r="383">
      <c r="J383" s="105"/>
    </row>
    <row r="384">
      <c r="J384" s="105"/>
    </row>
    <row r="385">
      <c r="J385" s="105"/>
    </row>
    <row r="386">
      <c r="J386" s="105"/>
    </row>
    <row r="387">
      <c r="J387" s="105"/>
    </row>
    <row r="388">
      <c r="J388" s="105"/>
    </row>
    <row r="389">
      <c r="J389" s="105"/>
    </row>
    <row r="390">
      <c r="J390" s="105"/>
    </row>
    <row r="391">
      <c r="J391" s="105"/>
    </row>
    <row r="392">
      <c r="J392" s="105"/>
    </row>
    <row r="393">
      <c r="J393" s="105"/>
    </row>
    <row r="394">
      <c r="J394" s="105"/>
    </row>
    <row r="395">
      <c r="J395" s="105"/>
    </row>
    <row r="396">
      <c r="J396" s="105"/>
    </row>
    <row r="397">
      <c r="J397" s="105"/>
    </row>
    <row r="398">
      <c r="J398" s="105"/>
    </row>
    <row r="399">
      <c r="J399" s="105"/>
    </row>
    <row r="400">
      <c r="J400" s="105"/>
    </row>
    <row r="401">
      <c r="J401" s="105"/>
    </row>
    <row r="402">
      <c r="J402" s="105"/>
    </row>
    <row r="403">
      <c r="J403" s="105"/>
    </row>
    <row r="404">
      <c r="J404" s="105"/>
    </row>
    <row r="405">
      <c r="J405" s="105"/>
    </row>
    <row r="406">
      <c r="J406" s="105"/>
    </row>
    <row r="407">
      <c r="J407" s="105"/>
    </row>
    <row r="408">
      <c r="J408" s="105"/>
    </row>
    <row r="409">
      <c r="J409" s="105"/>
    </row>
    <row r="410">
      <c r="J410" s="105"/>
    </row>
    <row r="411">
      <c r="J411" s="105"/>
    </row>
    <row r="412">
      <c r="J412" s="105"/>
    </row>
    <row r="413">
      <c r="J413" s="105"/>
    </row>
    <row r="414">
      <c r="J414" s="105"/>
    </row>
    <row r="415">
      <c r="J415" s="105"/>
    </row>
    <row r="416">
      <c r="J416" s="105"/>
    </row>
    <row r="417">
      <c r="J417" s="105"/>
    </row>
    <row r="418">
      <c r="J418" s="105"/>
    </row>
    <row r="419">
      <c r="J419" s="105"/>
    </row>
    <row r="420">
      <c r="J420" s="105"/>
    </row>
    <row r="421">
      <c r="J421" s="105"/>
    </row>
    <row r="422">
      <c r="J422" s="105"/>
    </row>
    <row r="423">
      <c r="J423" s="105"/>
    </row>
    <row r="424">
      <c r="J424" s="105"/>
    </row>
    <row r="425">
      <c r="J425" s="105"/>
    </row>
    <row r="426">
      <c r="J426" s="105"/>
    </row>
    <row r="427">
      <c r="J427" s="105"/>
    </row>
    <row r="428">
      <c r="J428" s="105"/>
    </row>
    <row r="429">
      <c r="J429" s="105"/>
    </row>
    <row r="430">
      <c r="J430" s="105"/>
    </row>
    <row r="431">
      <c r="J431" s="105"/>
    </row>
    <row r="432">
      <c r="J432" s="105"/>
    </row>
    <row r="433">
      <c r="J433" s="105"/>
    </row>
    <row r="434">
      <c r="J434" s="105"/>
    </row>
    <row r="435">
      <c r="J435" s="105"/>
    </row>
    <row r="436">
      <c r="J436" s="105"/>
    </row>
    <row r="437">
      <c r="J437" s="105"/>
    </row>
    <row r="438">
      <c r="J438" s="105"/>
    </row>
    <row r="439">
      <c r="J439" s="105"/>
    </row>
    <row r="440">
      <c r="J440" s="105"/>
    </row>
    <row r="441">
      <c r="J441" s="105"/>
    </row>
    <row r="442">
      <c r="J442" s="105"/>
    </row>
    <row r="443">
      <c r="J443" s="105"/>
    </row>
    <row r="444">
      <c r="J444" s="105"/>
    </row>
    <row r="445">
      <c r="J445" s="105"/>
    </row>
    <row r="446">
      <c r="J446" s="105"/>
    </row>
    <row r="447">
      <c r="J447" s="105"/>
    </row>
    <row r="448">
      <c r="J448" s="105"/>
    </row>
    <row r="449">
      <c r="J449" s="105"/>
    </row>
    <row r="450">
      <c r="J450" s="105"/>
    </row>
    <row r="451">
      <c r="J451" s="105"/>
    </row>
    <row r="452">
      <c r="J452" s="105"/>
    </row>
    <row r="453">
      <c r="J453" s="105"/>
    </row>
    <row r="454">
      <c r="J454" s="105"/>
    </row>
    <row r="455">
      <c r="J455" s="105"/>
    </row>
    <row r="456">
      <c r="J456" s="105"/>
    </row>
    <row r="457">
      <c r="J457" s="105"/>
    </row>
    <row r="458">
      <c r="J458" s="105"/>
    </row>
    <row r="459">
      <c r="J459" s="105"/>
    </row>
    <row r="460">
      <c r="J460" s="105"/>
    </row>
    <row r="461">
      <c r="J461" s="105"/>
    </row>
    <row r="462">
      <c r="J462" s="105"/>
    </row>
    <row r="463">
      <c r="J463" s="105"/>
    </row>
    <row r="464">
      <c r="J464" s="105"/>
    </row>
    <row r="465">
      <c r="J465" s="105"/>
    </row>
    <row r="466">
      <c r="J466" s="105"/>
    </row>
    <row r="467">
      <c r="J467" s="105"/>
    </row>
    <row r="468">
      <c r="J468" s="105"/>
    </row>
    <row r="469">
      <c r="J469" s="105"/>
    </row>
    <row r="470">
      <c r="J470" s="105"/>
    </row>
    <row r="471">
      <c r="J471" s="105"/>
    </row>
    <row r="472">
      <c r="J472" s="105"/>
    </row>
    <row r="473">
      <c r="J473" s="105"/>
    </row>
    <row r="474">
      <c r="J474" s="105"/>
    </row>
    <row r="475">
      <c r="J475" s="105"/>
    </row>
    <row r="476">
      <c r="J476" s="105"/>
    </row>
    <row r="477">
      <c r="J477" s="105"/>
    </row>
    <row r="478">
      <c r="J478" s="105"/>
    </row>
    <row r="479">
      <c r="J479" s="105"/>
    </row>
    <row r="480">
      <c r="J480" s="105"/>
    </row>
    <row r="481">
      <c r="J481" s="105"/>
    </row>
    <row r="482">
      <c r="J482" s="105"/>
    </row>
    <row r="483">
      <c r="J483" s="105"/>
    </row>
    <row r="484">
      <c r="J484" s="105"/>
    </row>
    <row r="485">
      <c r="J485" s="105"/>
    </row>
    <row r="486">
      <c r="J486" s="105"/>
    </row>
    <row r="487">
      <c r="J487" s="105"/>
    </row>
    <row r="488">
      <c r="J488" s="105"/>
    </row>
    <row r="489">
      <c r="J489" s="105"/>
    </row>
    <row r="490">
      <c r="J490" s="105"/>
    </row>
    <row r="491">
      <c r="J491" s="105"/>
    </row>
    <row r="492">
      <c r="J492" s="105"/>
    </row>
    <row r="493">
      <c r="J493" s="105"/>
    </row>
    <row r="494">
      <c r="J494" s="105"/>
    </row>
    <row r="495">
      <c r="J495" s="105"/>
    </row>
    <row r="496">
      <c r="J496" s="105"/>
    </row>
    <row r="497">
      <c r="J497" s="105"/>
    </row>
    <row r="498">
      <c r="J498" s="105"/>
    </row>
    <row r="499">
      <c r="J499" s="105"/>
    </row>
    <row r="500">
      <c r="J500" s="105"/>
    </row>
    <row r="501">
      <c r="J501" s="105"/>
    </row>
    <row r="502">
      <c r="J502" s="105"/>
    </row>
    <row r="503">
      <c r="J503" s="105"/>
    </row>
    <row r="504">
      <c r="J504" s="105"/>
    </row>
    <row r="505">
      <c r="J505" s="105"/>
    </row>
    <row r="506">
      <c r="J506" s="105"/>
    </row>
    <row r="507">
      <c r="J507" s="105"/>
    </row>
    <row r="508">
      <c r="J508" s="105"/>
    </row>
    <row r="509">
      <c r="J509" s="105"/>
    </row>
    <row r="510">
      <c r="J510" s="105"/>
    </row>
    <row r="511">
      <c r="J511" s="105"/>
    </row>
    <row r="512">
      <c r="J512" s="105"/>
    </row>
    <row r="513">
      <c r="J513" s="105"/>
    </row>
    <row r="514">
      <c r="J514" s="105"/>
    </row>
    <row r="515">
      <c r="J515" s="105"/>
    </row>
    <row r="516">
      <c r="J516" s="105"/>
    </row>
    <row r="517">
      <c r="J517" s="105"/>
    </row>
    <row r="518">
      <c r="J518" s="105"/>
    </row>
    <row r="519">
      <c r="J519" s="105"/>
    </row>
    <row r="520">
      <c r="J520" s="105"/>
    </row>
    <row r="521">
      <c r="J521" s="105"/>
    </row>
    <row r="522">
      <c r="J522" s="105"/>
    </row>
    <row r="523">
      <c r="J523" s="105"/>
    </row>
    <row r="524">
      <c r="J524" s="105"/>
    </row>
    <row r="525">
      <c r="J525" s="105"/>
    </row>
    <row r="526">
      <c r="J526" s="105"/>
    </row>
    <row r="527">
      <c r="J527" s="105"/>
    </row>
    <row r="528">
      <c r="J528" s="105"/>
    </row>
    <row r="529">
      <c r="J529" s="105"/>
    </row>
    <row r="530">
      <c r="J530" s="105"/>
    </row>
    <row r="531">
      <c r="J531" s="105"/>
    </row>
    <row r="532">
      <c r="J532" s="105"/>
    </row>
    <row r="533">
      <c r="J533" s="105"/>
    </row>
    <row r="534">
      <c r="J534" s="105"/>
    </row>
    <row r="535">
      <c r="J535" s="105"/>
    </row>
    <row r="536">
      <c r="J536" s="105"/>
    </row>
    <row r="537">
      <c r="J537" s="105"/>
    </row>
    <row r="538">
      <c r="J538" s="105"/>
    </row>
    <row r="539">
      <c r="J539" s="105"/>
    </row>
    <row r="540">
      <c r="J540" s="105"/>
    </row>
    <row r="541">
      <c r="J541" s="105"/>
    </row>
    <row r="542">
      <c r="J542" s="105"/>
    </row>
    <row r="543">
      <c r="J543" s="105"/>
    </row>
    <row r="544">
      <c r="J544" s="105"/>
    </row>
    <row r="545">
      <c r="J545" s="105"/>
    </row>
    <row r="546">
      <c r="J546" s="105"/>
    </row>
    <row r="547">
      <c r="J547" s="105"/>
    </row>
    <row r="548">
      <c r="J548" s="105"/>
    </row>
    <row r="549">
      <c r="J549" s="105"/>
    </row>
    <row r="550">
      <c r="J550" s="105"/>
    </row>
    <row r="551">
      <c r="J551" s="105"/>
    </row>
    <row r="552">
      <c r="J552" s="105"/>
    </row>
    <row r="553">
      <c r="J553" s="105"/>
    </row>
    <row r="554">
      <c r="J554" s="105"/>
    </row>
    <row r="555">
      <c r="J555" s="105"/>
    </row>
    <row r="556">
      <c r="J556" s="105"/>
    </row>
    <row r="557">
      <c r="J557" s="105"/>
    </row>
    <row r="558">
      <c r="J558" s="105"/>
    </row>
    <row r="559">
      <c r="J559" s="105"/>
    </row>
    <row r="560">
      <c r="J560" s="105"/>
    </row>
    <row r="561">
      <c r="J561" s="105"/>
    </row>
    <row r="562">
      <c r="J562" s="105"/>
    </row>
    <row r="563">
      <c r="J563" s="105"/>
    </row>
    <row r="564">
      <c r="J564" s="105"/>
    </row>
    <row r="565">
      <c r="J565" s="105"/>
    </row>
    <row r="566">
      <c r="J566" s="105"/>
    </row>
    <row r="567">
      <c r="J567" s="105"/>
    </row>
    <row r="568">
      <c r="J568" s="105"/>
    </row>
    <row r="569">
      <c r="J569" s="105"/>
    </row>
    <row r="570">
      <c r="J570" s="105"/>
    </row>
    <row r="571">
      <c r="J571" s="105"/>
    </row>
    <row r="572">
      <c r="J572" s="105"/>
    </row>
    <row r="573">
      <c r="J573" s="105"/>
    </row>
    <row r="574">
      <c r="J574" s="105"/>
    </row>
    <row r="575">
      <c r="J575" s="105"/>
    </row>
    <row r="576">
      <c r="J576" s="105"/>
    </row>
    <row r="577">
      <c r="J577" s="105"/>
    </row>
    <row r="578">
      <c r="J578" s="105"/>
    </row>
    <row r="579">
      <c r="J579" s="105"/>
    </row>
    <row r="580">
      <c r="J580" s="105"/>
    </row>
    <row r="581">
      <c r="J581" s="105"/>
    </row>
    <row r="582">
      <c r="J582" s="105"/>
    </row>
    <row r="583">
      <c r="J583" s="105"/>
    </row>
    <row r="584">
      <c r="J584" s="105"/>
    </row>
    <row r="585">
      <c r="J585" s="105"/>
    </row>
    <row r="586">
      <c r="J586" s="105"/>
    </row>
    <row r="587">
      <c r="J587" s="105"/>
    </row>
    <row r="588">
      <c r="J588" s="105"/>
    </row>
    <row r="589">
      <c r="J589" s="105"/>
    </row>
    <row r="590">
      <c r="J590" s="105"/>
    </row>
    <row r="591">
      <c r="J591" s="105"/>
    </row>
    <row r="592">
      <c r="J592" s="105"/>
    </row>
    <row r="593">
      <c r="J593" s="105"/>
    </row>
    <row r="594">
      <c r="J594" s="105"/>
    </row>
    <row r="595">
      <c r="J595" s="105"/>
    </row>
    <row r="596">
      <c r="J596" s="105"/>
    </row>
    <row r="597">
      <c r="J597" s="105"/>
    </row>
    <row r="598">
      <c r="J598" s="105"/>
    </row>
    <row r="599">
      <c r="J599" s="105"/>
    </row>
    <row r="600">
      <c r="J600" s="105"/>
    </row>
    <row r="601">
      <c r="J601" s="105"/>
    </row>
    <row r="602">
      <c r="J602" s="105"/>
    </row>
    <row r="603">
      <c r="J603" s="105"/>
    </row>
    <row r="604">
      <c r="J604" s="105"/>
    </row>
    <row r="605">
      <c r="J605" s="105"/>
    </row>
    <row r="606">
      <c r="J606" s="105"/>
    </row>
    <row r="607">
      <c r="J607" s="105"/>
    </row>
    <row r="608">
      <c r="J608" s="105"/>
    </row>
    <row r="609">
      <c r="J609" s="105"/>
    </row>
    <row r="610">
      <c r="J610" s="105"/>
    </row>
    <row r="611">
      <c r="J611" s="105"/>
    </row>
    <row r="612">
      <c r="J612" s="105"/>
    </row>
    <row r="613">
      <c r="J613" s="105"/>
    </row>
    <row r="614">
      <c r="J614" s="105"/>
    </row>
    <row r="615">
      <c r="J615" s="105"/>
    </row>
    <row r="616">
      <c r="J616" s="105"/>
    </row>
    <row r="617">
      <c r="J617" s="105"/>
    </row>
    <row r="618">
      <c r="J618" s="105"/>
    </row>
    <row r="619">
      <c r="J619" s="105"/>
    </row>
    <row r="620">
      <c r="J620" s="105"/>
    </row>
    <row r="621">
      <c r="J621" s="105"/>
    </row>
    <row r="622">
      <c r="J622" s="105"/>
    </row>
    <row r="623">
      <c r="J623" s="105"/>
    </row>
    <row r="624">
      <c r="J624" s="105"/>
    </row>
    <row r="625">
      <c r="J625" s="105"/>
    </row>
    <row r="626">
      <c r="J626" s="105"/>
    </row>
    <row r="627">
      <c r="J627" s="105"/>
    </row>
    <row r="628">
      <c r="J628" s="105"/>
    </row>
    <row r="629">
      <c r="J629" s="105"/>
    </row>
    <row r="630">
      <c r="J630" s="105"/>
    </row>
    <row r="631">
      <c r="J631" s="105"/>
    </row>
    <row r="632">
      <c r="J632" s="105"/>
    </row>
    <row r="633">
      <c r="J633" s="105"/>
    </row>
    <row r="634">
      <c r="J634" s="105"/>
    </row>
    <row r="635">
      <c r="J635" s="105"/>
    </row>
    <row r="636">
      <c r="J636" s="105"/>
    </row>
    <row r="637">
      <c r="J637" s="105"/>
    </row>
    <row r="638">
      <c r="J638" s="105"/>
    </row>
    <row r="639">
      <c r="J639" s="105"/>
    </row>
    <row r="640">
      <c r="J640" s="105"/>
    </row>
    <row r="641">
      <c r="J641" s="105"/>
    </row>
    <row r="642">
      <c r="J642" s="105"/>
    </row>
    <row r="643">
      <c r="J643" s="105"/>
    </row>
    <row r="644">
      <c r="J644" s="105"/>
    </row>
    <row r="645">
      <c r="J645" s="105"/>
    </row>
    <row r="646">
      <c r="J646" s="105"/>
    </row>
    <row r="647">
      <c r="J647" s="105"/>
    </row>
    <row r="648">
      <c r="J648" s="105"/>
    </row>
    <row r="649">
      <c r="J649" s="105"/>
    </row>
    <row r="650">
      <c r="J650" s="105"/>
    </row>
    <row r="651">
      <c r="J651" s="105"/>
    </row>
    <row r="652">
      <c r="J652" s="105"/>
    </row>
    <row r="653">
      <c r="J653" s="105"/>
    </row>
    <row r="654">
      <c r="J654" s="105"/>
    </row>
    <row r="655">
      <c r="J655" s="105"/>
    </row>
    <row r="656">
      <c r="J656" s="105"/>
    </row>
    <row r="657">
      <c r="J657" s="105"/>
    </row>
    <row r="658">
      <c r="J658" s="105"/>
    </row>
    <row r="659">
      <c r="J659" s="105"/>
    </row>
    <row r="660">
      <c r="J660" s="105"/>
    </row>
    <row r="661">
      <c r="J661" s="105"/>
    </row>
    <row r="662">
      <c r="J662" s="105"/>
    </row>
    <row r="663">
      <c r="J663" s="105"/>
    </row>
    <row r="664">
      <c r="J664" s="105"/>
    </row>
    <row r="665">
      <c r="J665" s="105"/>
    </row>
    <row r="666">
      <c r="J666" s="105"/>
    </row>
    <row r="667">
      <c r="J667" s="105"/>
    </row>
    <row r="668">
      <c r="J668" s="105"/>
    </row>
    <row r="669">
      <c r="J669" s="105"/>
    </row>
    <row r="670">
      <c r="J670" s="105"/>
    </row>
    <row r="671">
      <c r="J671" s="105"/>
    </row>
    <row r="672">
      <c r="J672" s="105"/>
    </row>
    <row r="673">
      <c r="J673" s="105"/>
    </row>
    <row r="674">
      <c r="J674" s="105"/>
    </row>
    <row r="675">
      <c r="J675" s="105"/>
    </row>
    <row r="676">
      <c r="J676" s="105"/>
    </row>
    <row r="677">
      <c r="J677" s="105"/>
    </row>
    <row r="678">
      <c r="J678" s="105"/>
    </row>
    <row r="679">
      <c r="J679" s="105"/>
    </row>
    <row r="680">
      <c r="J680" s="105"/>
    </row>
    <row r="681">
      <c r="J681" s="105"/>
    </row>
    <row r="682">
      <c r="J682" s="105"/>
    </row>
    <row r="683">
      <c r="J683" s="105"/>
    </row>
    <row r="684">
      <c r="J684" s="105"/>
    </row>
    <row r="685">
      <c r="J685" s="105"/>
    </row>
    <row r="686">
      <c r="J686" s="105"/>
    </row>
    <row r="687">
      <c r="J687" s="105"/>
    </row>
    <row r="688">
      <c r="J688" s="105"/>
    </row>
    <row r="689">
      <c r="J689" s="105"/>
    </row>
    <row r="690">
      <c r="J690" s="105"/>
    </row>
    <row r="691">
      <c r="J691" s="105"/>
    </row>
    <row r="692">
      <c r="J692" s="105"/>
    </row>
    <row r="693">
      <c r="J693" s="105"/>
    </row>
    <row r="694">
      <c r="J694" s="105"/>
    </row>
    <row r="695">
      <c r="J695" s="105"/>
    </row>
    <row r="696">
      <c r="J696" s="105"/>
    </row>
    <row r="697">
      <c r="J697" s="105"/>
    </row>
    <row r="698">
      <c r="J698" s="105"/>
    </row>
    <row r="699">
      <c r="J699" s="105"/>
    </row>
    <row r="700">
      <c r="J700" s="105"/>
    </row>
    <row r="701">
      <c r="J701" s="105"/>
    </row>
    <row r="702">
      <c r="J702" s="105"/>
    </row>
    <row r="703">
      <c r="J703" s="105"/>
    </row>
    <row r="704">
      <c r="J704" s="105"/>
    </row>
    <row r="705">
      <c r="J705" s="105"/>
    </row>
    <row r="706">
      <c r="J706" s="105"/>
    </row>
    <row r="707">
      <c r="J707" s="105"/>
    </row>
    <row r="708">
      <c r="J708" s="105"/>
    </row>
    <row r="709">
      <c r="J709" s="105"/>
    </row>
    <row r="710">
      <c r="J710" s="105"/>
    </row>
    <row r="711">
      <c r="J711" s="105"/>
    </row>
    <row r="712">
      <c r="J712" s="105"/>
    </row>
    <row r="713">
      <c r="J713" s="105"/>
    </row>
    <row r="714">
      <c r="J714" s="105"/>
    </row>
    <row r="715">
      <c r="J715" s="105"/>
    </row>
    <row r="716">
      <c r="J716" s="105"/>
    </row>
    <row r="717">
      <c r="J717" s="105"/>
    </row>
    <row r="718">
      <c r="J718" s="105"/>
    </row>
    <row r="719">
      <c r="J719" s="105"/>
    </row>
    <row r="720">
      <c r="J720" s="105"/>
    </row>
    <row r="721">
      <c r="J721" s="105"/>
    </row>
    <row r="722">
      <c r="J722" s="105"/>
    </row>
    <row r="723">
      <c r="J723" s="105"/>
    </row>
    <row r="724">
      <c r="J724" s="105"/>
    </row>
    <row r="725">
      <c r="J725" s="105"/>
    </row>
    <row r="726">
      <c r="J726" s="105"/>
    </row>
    <row r="727">
      <c r="J727" s="105"/>
    </row>
    <row r="728">
      <c r="J728" s="105"/>
    </row>
    <row r="729">
      <c r="J729" s="105"/>
    </row>
    <row r="730">
      <c r="J730" s="105"/>
    </row>
    <row r="731">
      <c r="J731" s="105"/>
    </row>
    <row r="732">
      <c r="J732" s="105"/>
    </row>
    <row r="733">
      <c r="J733" s="105"/>
    </row>
    <row r="734">
      <c r="J734" s="105"/>
    </row>
    <row r="735">
      <c r="J735" s="105"/>
    </row>
    <row r="736">
      <c r="J736" s="105"/>
    </row>
    <row r="737">
      <c r="J737" s="105"/>
    </row>
    <row r="738">
      <c r="J738" s="105"/>
    </row>
    <row r="739">
      <c r="J739" s="105"/>
    </row>
    <row r="740">
      <c r="J740" s="105"/>
    </row>
    <row r="741">
      <c r="J741" s="105"/>
    </row>
    <row r="742">
      <c r="J742" s="105"/>
    </row>
    <row r="743">
      <c r="J743" s="105"/>
    </row>
    <row r="744">
      <c r="J744" s="105"/>
    </row>
    <row r="745">
      <c r="J745" s="105"/>
    </row>
    <row r="746">
      <c r="J746" s="105"/>
    </row>
    <row r="747">
      <c r="J747" s="105"/>
    </row>
    <row r="748">
      <c r="J748" s="105"/>
    </row>
    <row r="749">
      <c r="J749" s="105"/>
    </row>
    <row r="750">
      <c r="J750" s="105"/>
    </row>
    <row r="751">
      <c r="J751" s="105"/>
    </row>
    <row r="752">
      <c r="J752" s="105"/>
    </row>
    <row r="753">
      <c r="J753" s="105"/>
    </row>
    <row r="754">
      <c r="J754" s="105"/>
    </row>
    <row r="755">
      <c r="J755" s="105"/>
    </row>
    <row r="756">
      <c r="J756" s="105"/>
    </row>
    <row r="757">
      <c r="J757" s="105"/>
    </row>
    <row r="758">
      <c r="J758" s="105"/>
    </row>
    <row r="759">
      <c r="J759" s="105"/>
    </row>
    <row r="760">
      <c r="J760" s="105"/>
    </row>
    <row r="761">
      <c r="J761" s="105"/>
    </row>
    <row r="762">
      <c r="J762" s="105"/>
    </row>
    <row r="763">
      <c r="J763" s="105"/>
    </row>
    <row r="764">
      <c r="J764" s="105"/>
    </row>
    <row r="765">
      <c r="J765" s="105"/>
    </row>
    <row r="766">
      <c r="J766" s="105"/>
    </row>
    <row r="767">
      <c r="J767" s="105"/>
    </row>
    <row r="768">
      <c r="J768" s="105"/>
    </row>
    <row r="769">
      <c r="J769" s="105"/>
    </row>
    <row r="770">
      <c r="J770" s="105"/>
    </row>
    <row r="771">
      <c r="J771" s="105"/>
    </row>
    <row r="772">
      <c r="J772" s="105"/>
    </row>
    <row r="773">
      <c r="J773" s="105"/>
    </row>
    <row r="774">
      <c r="J774" s="105"/>
    </row>
    <row r="775">
      <c r="J775" s="105"/>
    </row>
    <row r="776">
      <c r="J776" s="105"/>
    </row>
    <row r="777">
      <c r="J777" s="105"/>
    </row>
    <row r="778">
      <c r="J778" s="105"/>
    </row>
    <row r="779">
      <c r="J779" s="105"/>
    </row>
    <row r="780">
      <c r="J780" s="105"/>
    </row>
    <row r="781">
      <c r="J781" s="105"/>
    </row>
    <row r="782">
      <c r="J782" s="105"/>
    </row>
    <row r="783">
      <c r="J783" s="105"/>
    </row>
    <row r="784">
      <c r="J784" s="105"/>
    </row>
    <row r="785">
      <c r="J785" s="105"/>
    </row>
    <row r="786">
      <c r="J786" s="105"/>
    </row>
    <row r="787">
      <c r="J787" s="105"/>
    </row>
    <row r="788">
      <c r="J788" s="105"/>
    </row>
    <row r="789">
      <c r="J789" s="105"/>
    </row>
    <row r="790">
      <c r="J790" s="105"/>
    </row>
    <row r="791">
      <c r="J791" s="105"/>
    </row>
    <row r="792">
      <c r="J792" s="105"/>
    </row>
    <row r="793">
      <c r="J793" s="105"/>
    </row>
    <row r="794">
      <c r="J794" s="105"/>
    </row>
    <row r="795">
      <c r="J795" s="105"/>
    </row>
    <row r="796">
      <c r="J796" s="105"/>
    </row>
    <row r="797">
      <c r="J797" s="105"/>
    </row>
    <row r="798">
      <c r="J798" s="105"/>
    </row>
    <row r="799">
      <c r="J799" s="105"/>
    </row>
    <row r="800">
      <c r="J800" s="105"/>
    </row>
    <row r="801">
      <c r="J801" s="105"/>
    </row>
    <row r="802">
      <c r="J802" s="105"/>
    </row>
    <row r="803">
      <c r="J803" s="105"/>
    </row>
    <row r="804">
      <c r="J804" s="105"/>
    </row>
    <row r="805">
      <c r="J805" s="105"/>
    </row>
    <row r="806">
      <c r="J806" s="105"/>
    </row>
    <row r="807">
      <c r="J807" s="105"/>
    </row>
    <row r="808">
      <c r="J808" s="105"/>
    </row>
    <row r="809">
      <c r="J809" s="105"/>
    </row>
    <row r="810">
      <c r="J810" s="105"/>
    </row>
    <row r="811">
      <c r="J811" s="105"/>
    </row>
    <row r="812">
      <c r="J812" s="105"/>
    </row>
    <row r="813">
      <c r="J813" s="105"/>
    </row>
    <row r="814">
      <c r="J814" s="105"/>
    </row>
    <row r="815">
      <c r="J815" s="105"/>
    </row>
    <row r="816">
      <c r="J816" s="105"/>
    </row>
    <row r="817">
      <c r="J817" s="105"/>
    </row>
    <row r="818">
      <c r="J818" s="105"/>
    </row>
    <row r="819">
      <c r="J819" s="105"/>
    </row>
    <row r="820">
      <c r="J820" s="105"/>
    </row>
    <row r="821">
      <c r="J821" s="105"/>
    </row>
    <row r="822">
      <c r="J822" s="105"/>
    </row>
    <row r="823">
      <c r="J823" s="105"/>
    </row>
    <row r="824">
      <c r="J824" s="105"/>
    </row>
    <row r="825">
      <c r="J825" s="105"/>
    </row>
    <row r="826">
      <c r="J826" s="105"/>
    </row>
    <row r="827">
      <c r="J827" s="105"/>
    </row>
    <row r="828">
      <c r="J828" s="105"/>
    </row>
    <row r="829">
      <c r="J829" s="105"/>
    </row>
    <row r="830">
      <c r="J830" s="105"/>
    </row>
    <row r="831">
      <c r="J831" s="105"/>
    </row>
    <row r="832">
      <c r="J832" s="105"/>
    </row>
    <row r="833">
      <c r="J833" s="105"/>
    </row>
    <row r="834">
      <c r="J834" s="105"/>
    </row>
    <row r="835">
      <c r="J835" s="105"/>
    </row>
    <row r="836">
      <c r="J836" s="105"/>
    </row>
    <row r="837">
      <c r="J837" s="105"/>
    </row>
    <row r="838">
      <c r="J838" s="105"/>
    </row>
    <row r="839">
      <c r="J839" s="105"/>
    </row>
    <row r="840">
      <c r="J840" s="105"/>
    </row>
    <row r="841">
      <c r="J841" s="105"/>
    </row>
    <row r="842">
      <c r="J842" s="105"/>
    </row>
    <row r="843">
      <c r="J843" s="105"/>
    </row>
    <row r="844">
      <c r="J844" s="105"/>
    </row>
    <row r="845">
      <c r="J845" s="105"/>
    </row>
    <row r="846">
      <c r="J846" s="105"/>
    </row>
    <row r="847">
      <c r="J847" s="105"/>
    </row>
    <row r="848">
      <c r="J848" s="105"/>
    </row>
    <row r="849">
      <c r="J849" s="105"/>
    </row>
    <row r="850">
      <c r="J850" s="105"/>
    </row>
    <row r="851">
      <c r="J851" s="105"/>
    </row>
    <row r="852">
      <c r="J852" s="105"/>
    </row>
    <row r="853">
      <c r="J853" s="105"/>
    </row>
    <row r="854">
      <c r="J854" s="105"/>
    </row>
    <row r="855">
      <c r="J855" s="105"/>
    </row>
    <row r="856">
      <c r="J856" s="105"/>
    </row>
    <row r="857">
      <c r="J857" s="105"/>
    </row>
    <row r="858">
      <c r="J858" s="105"/>
    </row>
    <row r="859">
      <c r="J859" s="105"/>
    </row>
    <row r="860">
      <c r="J860" s="105"/>
    </row>
    <row r="861">
      <c r="J861" s="105"/>
    </row>
    <row r="862">
      <c r="J862" s="105"/>
    </row>
    <row r="863">
      <c r="J863" s="105"/>
    </row>
    <row r="864">
      <c r="J864" s="105"/>
    </row>
    <row r="865">
      <c r="J865" s="105"/>
    </row>
    <row r="866">
      <c r="J866" s="105"/>
    </row>
    <row r="867">
      <c r="J867" s="105"/>
    </row>
    <row r="868">
      <c r="J868" s="105"/>
    </row>
    <row r="869">
      <c r="J869" s="105"/>
    </row>
    <row r="870">
      <c r="J870" s="105"/>
    </row>
    <row r="871">
      <c r="J871" s="105"/>
    </row>
    <row r="872">
      <c r="J872" s="105"/>
    </row>
    <row r="873">
      <c r="J873" s="105"/>
    </row>
    <row r="874">
      <c r="J874" s="105"/>
    </row>
    <row r="875">
      <c r="J875" s="105"/>
    </row>
    <row r="876">
      <c r="J876" s="105"/>
    </row>
    <row r="877">
      <c r="J877" s="105"/>
    </row>
    <row r="878">
      <c r="J878" s="105"/>
    </row>
    <row r="879">
      <c r="J879" s="105"/>
    </row>
    <row r="880">
      <c r="J880" s="105"/>
    </row>
    <row r="881">
      <c r="J881" s="105"/>
    </row>
    <row r="882">
      <c r="J882" s="105"/>
    </row>
    <row r="883">
      <c r="J883" s="105"/>
    </row>
    <row r="884">
      <c r="J884" s="105"/>
    </row>
    <row r="885">
      <c r="J885" s="105"/>
    </row>
    <row r="886">
      <c r="J886" s="105"/>
    </row>
    <row r="887">
      <c r="J887" s="105"/>
    </row>
    <row r="888">
      <c r="J888" s="105"/>
    </row>
    <row r="889">
      <c r="J889" s="105"/>
    </row>
    <row r="890">
      <c r="J890" s="105"/>
    </row>
    <row r="891">
      <c r="J891" s="105"/>
    </row>
    <row r="892">
      <c r="J892" s="105"/>
    </row>
    <row r="893">
      <c r="J893" s="105"/>
    </row>
    <row r="894">
      <c r="J894" s="105"/>
    </row>
    <row r="895">
      <c r="J895" s="105"/>
    </row>
    <row r="896">
      <c r="J896" s="105"/>
    </row>
    <row r="897">
      <c r="J897" s="105"/>
    </row>
    <row r="898">
      <c r="J898" s="105"/>
    </row>
    <row r="899">
      <c r="J899" s="105"/>
    </row>
    <row r="900">
      <c r="J900" s="105"/>
    </row>
    <row r="901">
      <c r="J901" s="105"/>
    </row>
    <row r="902">
      <c r="J902" s="105"/>
    </row>
    <row r="903">
      <c r="J903" s="105"/>
    </row>
    <row r="904">
      <c r="J904" s="105"/>
    </row>
    <row r="905">
      <c r="J905" s="105"/>
    </row>
    <row r="906">
      <c r="J906" s="105"/>
    </row>
    <row r="907">
      <c r="J907" s="105"/>
    </row>
    <row r="908">
      <c r="J908" s="105"/>
    </row>
    <row r="909">
      <c r="J909" s="105"/>
    </row>
    <row r="910">
      <c r="J910" s="105"/>
    </row>
    <row r="911">
      <c r="J911" s="105"/>
    </row>
    <row r="912">
      <c r="J912" s="105"/>
    </row>
    <row r="913">
      <c r="J913" s="105"/>
    </row>
    <row r="914">
      <c r="J914" s="105"/>
    </row>
    <row r="915">
      <c r="J915" s="105"/>
    </row>
    <row r="916">
      <c r="J916" s="105"/>
    </row>
    <row r="917">
      <c r="J917" s="105"/>
    </row>
    <row r="918">
      <c r="J918" s="105"/>
    </row>
    <row r="919">
      <c r="J919" s="105"/>
    </row>
    <row r="920">
      <c r="J920" s="105"/>
    </row>
    <row r="921">
      <c r="J921" s="105"/>
    </row>
    <row r="922">
      <c r="J922" s="105"/>
    </row>
    <row r="923">
      <c r="J923" s="105"/>
    </row>
    <row r="924">
      <c r="J924" s="105"/>
    </row>
    <row r="925">
      <c r="J925" s="105"/>
    </row>
    <row r="926">
      <c r="J926" s="105"/>
    </row>
    <row r="927">
      <c r="J927" s="105"/>
    </row>
    <row r="928">
      <c r="J928" s="105"/>
    </row>
    <row r="929">
      <c r="J929" s="105"/>
    </row>
    <row r="930">
      <c r="J930" s="105"/>
    </row>
    <row r="931">
      <c r="J931" s="105"/>
    </row>
    <row r="932">
      <c r="J932" s="105"/>
    </row>
    <row r="933">
      <c r="J933" s="105"/>
    </row>
    <row r="934">
      <c r="J934" s="105"/>
    </row>
    <row r="935">
      <c r="J935" s="105"/>
    </row>
    <row r="936">
      <c r="J936" s="105"/>
    </row>
    <row r="937">
      <c r="J937" s="105"/>
    </row>
    <row r="938">
      <c r="J938" s="105"/>
    </row>
    <row r="939">
      <c r="J939" s="105"/>
    </row>
    <row r="940">
      <c r="J940" s="105"/>
    </row>
    <row r="941">
      <c r="J941" s="105"/>
    </row>
    <row r="942">
      <c r="J942" s="105"/>
    </row>
    <row r="943">
      <c r="J943" s="105"/>
    </row>
    <row r="944">
      <c r="J944" s="105"/>
    </row>
    <row r="945">
      <c r="J945" s="105"/>
    </row>
    <row r="946">
      <c r="J946" s="105"/>
    </row>
    <row r="947">
      <c r="J947" s="105"/>
    </row>
    <row r="948">
      <c r="J948" s="105"/>
    </row>
    <row r="949">
      <c r="J949" s="105"/>
    </row>
    <row r="950">
      <c r="J950" s="105"/>
    </row>
    <row r="951">
      <c r="J951" s="105"/>
    </row>
    <row r="952">
      <c r="J952" s="105"/>
    </row>
    <row r="953">
      <c r="J953" s="105"/>
    </row>
    <row r="954">
      <c r="J954" s="105"/>
    </row>
    <row r="955">
      <c r="J955" s="105"/>
    </row>
    <row r="956">
      <c r="J956" s="105"/>
    </row>
    <row r="957">
      <c r="J957" s="105"/>
    </row>
    <row r="958">
      <c r="J958" s="105"/>
    </row>
    <row r="959">
      <c r="J959" s="105"/>
    </row>
    <row r="960">
      <c r="J960" s="105"/>
    </row>
    <row r="961">
      <c r="J961" s="105"/>
    </row>
    <row r="962">
      <c r="J962" s="105"/>
    </row>
    <row r="963">
      <c r="J963" s="105"/>
    </row>
    <row r="964">
      <c r="J964" s="105"/>
    </row>
    <row r="965">
      <c r="J965" s="105"/>
    </row>
    <row r="966">
      <c r="J966" s="105"/>
    </row>
    <row r="967">
      <c r="J967" s="105"/>
    </row>
    <row r="968">
      <c r="J968" s="105"/>
    </row>
    <row r="969">
      <c r="J969" s="105"/>
    </row>
    <row r="970">
      <c r="J970" s="105"/>
    </row>
    <row r="971">
      <c r="J971" s="105"/>
    </row>
    <row r="972">
      <c r="J972" s="105"/>
    </row>
    <row r="973">
      <c r="J973" s="105"/>
    </row>
    <row r="974">
      <c r="J974" s="105"/>
    </row>
    <row r="975">
      <c r="J975" s="105"/>
    </row>
    <row r="976">
      <c r="J976" s="105"/>
    </row>
    <row r="977">
      <c r="J977" s="105"/>
    </row>
    <row r="978">
      <c r="J978" s="105"/>
    </row>
    <row r="979">
      <c r="J979" s="105"/>
    </row>
    <row r="980">
      <c r="J980" s="105"/>
    </row>
    <row r="981">
      <c r="J981" s="105"/>
    </row>
    <row r="982">
      <c r="J982" s="105"/>
    </row>
    <row r="983">
      <c r="J983" s="105"/>
    </row>
    <row r="984">
      <c r="J984" s="105"/>
    </row>
    <row r="985">
      <c r="J985" s="105"/>
    </row>
    <row r="986">
      <c r="J986" s="105"/>
    </row>
    <row r="987">
      <c r="J987" s="105"/>
    </row>
    <row r="988">
      <c r="J988" s="105"/>
    </row>
    <row r="989">
      <c r="J989" s="105"/>
    </row>
    <row r="990">
      <c r="J990" s="105"/>
    </row>
    <row r="991">
      <c r="J991" s="105"/>
    </row>
    <row r="992">
      <c r="J992" s="105"/>
    </row>
    <row r="993">
      <c r="J993" s="105"/>
    </row>
    <row r="994">
      <c r="J994" s="105"/>
    </row>
    <row r="995">
      <c r="J995" s="105"/>
    </row>
    <row r="996">
      <c r="J996" s="105"/>
    </row>
    <row r="997">
      <c r="J997" s="105"/>
    </row>
    <row r="998">
      <c r="J998" s="105"/>
    </row>
    <row r="999">
      <c r="J999" s="105"/>
    </row>
    <row r="1000">
      <c r="J1000" s="105"/>
    </row>
  </sheetData>
  <mergeCells count="27">
    <mergeCell ref="A1:B1"/>
    <mergeCell ref="E1:F1"/>
    <mergeCell ref="I1:J1"/>
    <mergeCell ref="A2:B2"/>
    <mergeCell ref="E2:F2"/>
    <mergeCell ref="I2:J2"/>
    <mergeCell ref="L2:M2"/>
    <mergeCell ref="O6:P6"/>
    <mergeCell ref="O7:P7"/>
    <mergeCell ref="L3:M3"/>
    <mergeCell ref="O3:P3"/>
    <mergeCell ref="L4:M4"/>
    <mergeCell ref="O4:P4"/>
    <mergeCell ref="L5:M5"/>
    <mergeCell ref="L6:M6"/>
    <mergeCell ref="L7:M7"/>
    <mergeCell ref="E21:F21"/>
    <mergeCell ref="E22:F22"/>
    <mergeCell ref="L21:M21"/>
    <mergeCell ref="L22:M22"/>
    <mergeCell ref="L8:M8"/>
    <mergeCell ref="L9:M9"/>
    <mergeCell ref="L10:M10"/>
    <mergeCell ref="L11:M11"/>
    <mergeCell ref="L12:M12"/>
    <mergeCell ref="I21:J21"/>
    <mergeCell ref="I22:J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0"/>
    <col customWidth="1" min="3" max="3" width="6.88"/>
    <col customWidth="1" min="4" max="4" width="4.0"/>
    <col customWidth="1" min="7" max="7" width="6.88"/>
    <col customWidth="1" min="8" max="8" width="3.25"/>
    <col customWidth="1" min="9" max="9" width="14.75"/>
    <col customWidth="1" min="10" max="10" width="15.13"/>
    <col customWidth="1" min="11" max="11" width="2.7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29</v>
      </c>
      <c r="J1" s="2"/>
      <c r="K1" s="7"/>
      <c r="L1" s="3"/>
      <c r="M1" s="3"/>
      <c r="N1" s="7"/>
      <c r="O1" s="7"/>
      <c r="P1" s="7"/>
    </row>
    <row r="2">
      <c r="A2" s="8" t="s">
        <v>30</v>
      </c>
      <c r="B2" s="9"/>
      <c r="C2" s="10" t="s">
        <v>4</v>
      </c>
      <c r="D2" s="4"/>
      <c r="E2" s="8" t="s">
        <v>30</v>
      </c>
      <c r="F2" s="9"/>
      <c r="G2" s="10" t="s">
        <v>4</v>
      </c>
      <c r="H2" s="4"/>
      <c r="I2" s="8" t="s">
        <v>30</v>
      </c>
      <c r="J2" s="9"/>
      <c r="K2" s="4"/>
      <c r="L2" s="12" t="s">
        <v>5</v>
      </c>
      <c r="M2" s="9"/>
      <c r="N2" s="7"/>
      <c r="O2" s="3"/>
      <c r="P2" s="3"/>
    </row>
    <row r="3">
      <c r="A3" s="13" t="s">
        <v>6</v>
      </c>
      <c r="B3" s="14">
        <v>119.41</v>
      </c>
      <c r="C3" s="15" t="s">
        <v>7</v>
      </c>
      <c r="D3" s="4"/>
      <c r="E3" s="16" t="s">
        <v>31</v>
      </c>
      <c r="F3" s="17">
        <v>5211.58</v>
      </c>
      <c r="G3" s="15" t="s">
        <v>7</v>
      </c>
      <c r="H3" s="4"/>
      <c r="I3" s="80" t="s">
        <v>64</v>
      </c>
      <c r="J3" s="81">
        <v>189.28</v>
      </c>
      <c r="K3" s="4"/>
      <c r="L3" s="20" t="s">
        <v>9</v>
      </c>
      <c r="M3" s="9"/>
      <c r="N3" s="4"/>
      <c r="O3" s="12" t="s">
        <v>10</v>
      </c>
      <c r="P3" s="9"/>
    </row>
    <row r="4">
      <c r="A4" s="21" t="s">
        <v>11</v>
      </c>
      <c r="B4" s="22">
        <v>114.9</v>
      </c>
      <c r="C4" s="23" t="s">
        <v>7</v>
      </c>
      <c r="D4" s="4"/>
      <c r="E4" s="24" t="s">
        <v>32</v>
      </c>
      <c r="F4" s="25">
        <v>3000.0</v>
      </c>
      <c r="G4" s="23"/>
      <c r="H4" s="4"/>
      <c r="I4" s="82" t="s">
        <v>65</v>
      </c>
      <c r="J4" s="83">
        <v>96.38</v>
      </c>
      <c r="K4" s="4"/>
      <c r="L4" s="28">
        <f>B19</f>
        <v>10930.43</v>
      </c>
      <c r="M4" s="9"/>
      <c r="N4" s="7"/>
      <c r="O4" s="85">
        <f>L6-L4+L8+L10</f>
        <v>-218.85</v>
      </c>
    </row>
    <row r="5">
      <c r="A5" s="13" t="s">
        <v>13</v>
      </c>
      <c r="B5" s="14">
        <v>500.0</v>
      </c>
      <c r="C5" s="15" t="s">
        <v>7</v>
      </c>
      <c r="D5" s="4"/>
      <c r="E5" s="39"/>
      <c r="F5" s="40"/>
      <c r="G5" s="15"/>
      <c r="H5" s="4"/>
      <c r="I5" s="80" t="s">
        <v>66</v>
      </c>
      <c r="J5" s="81">
        <v>127.49</v>
      </c>
      <c r="K5" s="4"/>
      <c r="L5" s="20" t="s">
        <v>1</v>
      </c>
      <c r="M5" s="9"/>
      <c r="N5" s="7"/>
      <c r="O5" s="7"/>
      <c r="P5" s="7"/>
    </row>
    <row r="6">
      <c r="A6" s="21" t="s">
        <v>14</v>
      </c>
      <c r="B6" s="22">
        <v>1509.36</v>
      </c>
      <c r="C6" s="34" t="s">
        <v>7</v>
      </c>
      <c r="D6" s="4"/>
      <c r="E6" s="35"/>
      <c r="F6" s="36"/>
      <c r="G6" s="34"/>
      <c r="H6" s="4"/>
      <c r="I6" s="82" t="s">
        <v>67</v>
      </c>
      <c r="J6" s="83">
        <v>87.02</v>
      </c>
      <c r="K6" s="67"/>
      <c r="L6" s="28">
        <f>F18</f>
        <v>8211.58</v>
      </c>
      <c r="M6" s="9"/>
      <c r="N6" s="7"/>
      <c r="O6" s="7"/>
      <c r="P6" s="7"/>
    </row>
    <row r="7">
      <c r="A7" s="43" t="s">
        <v>68</v>
      </c>
      <c r="B7" s="38">
        <v>3903.82</v>
      </c>
      <c r="C7" s="15" t="s">
        <v>7</v>
      </c>
      <c r="D7" s="4"/>
      <c r="E7" s="30"/>
      <c r="F7" s="31"/>
      <c r="G7" s="15"/>
      <c r="H7" s="4"/>
      <c r="I7" s="80" t="s">
        <v>69</v>
      </c>
      <c r="J7" s="81">
        <v>61.25</v>
      </c>
      <c r="L7" s="12" t="s">
        <v>16</v>
      </c>
      <c r="M7" s="9"/>
      <c r="N7" s="7"/>
      <c r="O7" s="7"/>
      <c r="P7" s="7"/>
    </row>
    <row r="8">
      <c r="A8" s="41" t="s">
        <v>17</v>
      </c>
      <c r="B8" s="22">
        <v>3800.0</v>
      </c>
      <c r="C8" s="34"/>
      <c r="D8" s="4"/>
      <c r="E8" s="35"/>
      <c r="F8" s="36"/>
      <c r="G8" s="34"/>
      <c r="H8" s="4"/>
      <c r="I8" s="82" t="s">
        <v>70</v>
      </c>
      <c r="J8" s="83">
        <v>34.27</v>
      </c>
      <c r="K8" s="7"/>
      <c r="L8" s="42">
        <v>2500.0</v>
      </c>
      <c r="N8" s="7"/>
      <c r="O8" s="7"/>
      <c r="P8" s="7"/>
    </row>
    <row r="9">
      <c r="A9" s="43" t="s">
        <v>43</v>
      </c>
      <c r="B9" s="38">
        <v>282.94</v>
      </c>
      <c r="C9" s="15"/>
      <c r="D9" s="4"/>
      <c r="E9" s="39"/>
      <c r="F9" s="44"/>
      <c r="G9" s="15"/>
      <c r="H9" s="4"/>
      <c r="I9" s="80" t="s">
        <v>71</v>
      </c>
      <c r="J9" s="81">
        <v>89.99</v>
      </c>
      <c r="K9" s="7"/>
      <c r="L9" s="12" t="s">
        <v>19</v>
      </c>
      <c r="M9" s="9"/>
      <c r="N9" s="7"/>
      <c r="O9" s="7"/>
      <c r="P9" s="7"/>
    </row>
    <row r="10">
      <c r="A10" s="41" t="s">
        <v>72</v>
      </c>
      <c r="B10" s="22">
        <v>0.0</v>
      </c>
      <c r="C10" s="34" t="s">
        <v>7</v>
      </c>
      <c r="D10" s="4"/>
      <c r="E10" s="35"/>
      <c r="F10" s="45"/>
      <c r="G10" s="46"/>
      <c r="H10" s="4"/>
      <c r="I10" s="82" t="s">
        <v>73</v>
      </c>
      <c r="J10" s="83">
        <v>120.66</v>
      </c>
      <c r="K10" s="7"/>
      <c r="L10" s="87">
        <v>0.0</v>
      </c>
      <c r="N10" s="7"/>
      <c r="O10" s="7"/>
      <c r="P10" s="7"/>
    </row>
    <row r="11">
      <c r="A11" s="43" t="s">
        <v>45</v>
      </c>
      <c r="B11" s="14">
        <v>700.0</v>
      </c>
      <c r="C11" s="15" t="s">
        <v>7</v>
      </c>
      <c r="D11" s="4"/>
      <c r="E11" s="4"/>
      <c r="F11" s="48"/>
      <c r="G11" s="49"/>
      <c r="H11" s="4"/>
      <c r="I11" s="80" t="s">
        <v>74</v>
      </c>
      <c r="J11" s="81">
        <v>20.03</v>
      </c>
      <c r="K11" s="7"/>
      <c r="L11" s="7"/>
      <c r="M11" s="7"/>
      <c r="N11" s="7"/>
      <c r="O11" s="7"/>
      <c r="P11" s="7"/>
    </row>
    <row r="12">
      <c r="A12" s="41"/>
      <c r="B12" s="22"/>
      <c r="C12" s="46"/>
      <c r="D12" s="4"/>
      <c r="E12" s="35"/>
      <c r="F12" s="45"/>
      <c r="G12" s="46"/>
      <c r="H12" s="4"/>
      <c r="I12" s="82" t="s">
        <v>75</v>
      </c>
      <c r="J12" s="83">
        <v>106.98</v>
      </c>
      <c r="K12" s="7"/>
      <c r="L12" s="7"/>
      <c r="M12" s="7"/>
      <c r="N12" s="7"/>
      <c r="O12" s="7"/>
      <c r="P12" s="7"/>
    </row>
    <row r="13">
      <c r="A13" s="47"/>
      <c r="B13" s="88"/>
      <c r="C13" s="53"/>
      <c r="D13" s="4"/>
      <c r="E13" s="4"/>
      <c r="F13" s="48"/>
      <c r="G13" s="53"/>
      <c r="H13" s="4"/>
      <c r="I13" s="80" t="s">
        <v>76</v>
      </c>
      <c r="J13" s="81">
        <v>13.9</v>
      </c>
      <c r="K13" s="7"/>
      <c r="L13" s="7"/>
      <c r="M13" s="7"/>
      <c r="N13" s="7"/>
      <c r="O13" s="7"/>
      <c r="P13" s="7"/>
    </row>
    <row r="14">
      <c r="A14" s="21"/>
      <c r="B14" s="36"/>
      <c r="C14" s="46"/>
      <c r="D14" s="4"/>
      <c r="E14" s="35"/>
      <c r="F14" s="45"/>
      <c r="G14" s="46"/>
      <c r="H14" s="4"/>
      <c r="I14" s="82" t="s">
        <v>77</v>
      </c>
      <c r="J14" s="83">
        <v>56.78</v>
      </c>
      <c r="K14" s="7"/>
      <c r="L14" s="7"/>
      <c r="M14" s="7"/>
      <c r="N14" s="7"/>
      <c r="O14" s="7"/>
      <c r="P14" s="7"/>
    </row>
    <row r="15">
      <c r="A15" s="13"/>
      <c r="B15" s="88"/>
      <c r="C15" s="53"/>
      <c r="D15" s="4"/>
      <c r="E15" s="4"/>
      <c r="F15" s="48"/>
      <c r="G15" s="53"/>
      <c r="H15" s="4"/>
      <c r="I15" s="80" t="s">
        <v>78</v>
      </c>
      <c r="J15" s="81">
        <v>80.46</v>
      </c>
      <c r="K15" s="7"/>
      <c r="L15" s="7"/>
      <c r="M15" s="7"/>
      <c r="N15" s="7"/>
      <c r="O15" s="7"/>
      <c r="P15" s="7"/>
    </row>
    <row r="16">
      <c r="A16" s="21"/>
      <c r="B16" s="36"/>
      <c r="C16" s="46"/>
      <c r="D16" s="4"/>
      <c r="E16" s="35"/>
      <c r="F16" s="45"/>
      <c r="G16" s="56"/>
      <c r="H16" s="4"/>
      <c r="I16" s="82" t="s">
        <v>79</v>
      </c>
      <c r="J16" s="83">
        <v>125.97</v>
      </c>
      <c r="K16" s="7"/>
      <c r="L16" s="7"/>
      <c r="M16" s="7"/>
      <c r="N16" s="7"/>
      <c r="O16" s="7"/>
      <c r="P16" s="7"/>
    </row>
    <row r="17">
      <c r="A17" s="13"/>
      <c r="B17" s="88"/>
      <c r="C17" s="53"/>
      <c r="D17" s="4"/>
      <c r="E17" s="4"/>
      <c r="F17" s="48"/>
      <c r="G17" s="7"/>
      <c r="H17" s="4"/>
      <c r="I17" s="102"/>
      <c r="J17" s="103"/>
      <c r="K17" s="7"/>
      <c r="L17" s="7"/>
      <c r="M17" s="7"/>
      <c r="N17" s="7"/>
      <c r="O17" s="7"/>
      <c r="P17" s="7"/>
    </row>
    <row r="18">
      <c r="A18" s="21"/>
      <c r="B18" s="36"/>
      <c r="C18" s="56"/>
      <c r="D18" s="4"/>
      <c r="E18" s="61" t="s">
        <v>21</v>
      </c>
      <c r="F18" s="62">
        <f>SUM(F3:F17)</f>
        <v>8211.58</v>
      </c>
      <c r="G18" s="7"/>
      <c r="H18" s="7"/>
      <c r="I18" s="82"/>
      <c r="J18" s="83"/>
      <c r="K18" s="7"/>
      <c r="L18" s="7"/>
      <c r="M18" s="7"/>
      <c r="N18" s="7"/>
      <c r="O18" s="7"/>
      <c r="P18" s="7"/>
    </row>
    <row r="19">
      <c r="A19" s="63" t="s">
        <v>21</v>
      </c>
      <c r="B19" s="95">
        <f>SUM(B3:B18)</f>
        <v>10930.43</v>
      </c>
      <c r="C19" s="7"/>
      <c r="D19" s="7"/>
      <c r="E19" s="7"/>
      <c r="F19" s="7"/>
      <c r="G19" s="7"/>
      <c r="H19" s="7"/>
      <c r="I19" s="63" t="s">
        <v>21</v>
      </c>
      <c r="J19" s="95">
        <f>SUM(J3:J18)</f>
        <v>1210.46</v>
      </c>
      <c r="K19" s="7"/>
      <c r="L19" s="7"/>
      <c r="M19" s="7"/>
      <c r="N19" s="7"/>
      <c r="O19" s="7"/>
      <c r="P19" s="7"/>
    </row>
    <row r="20">
      <c r="E20" s="70" t="s">
        <v>22</v>
      </c>
      <c r="F20" s="2"/>
    </row>
    <row r="21">
      <c r="E21" s="11" t="s">
        <v>23</v>
      </c>
      <c r="F21" s="2"/>
      <c r="I21" s="96" t="s">
        <v>36</v>
      </c>
      <c r="J21" s="2"/>
      <c r="L21" s="96" t="s">
        <v>37</v>
      </c>
      <c r="M21" s="2"/>
    </row>
    <row r="22">
      <c r="E22" s="18" t="s">
        <v>27</v>
      </c>
      <c r="F22" s="72"/>
      <c r="H22" s="73"/>
      <c r="I22" s="11" t="s">
        <v>30</v>
      </c>
      <c r="J22" s="2"/>
      <c r="L22" s="11" t="s">
        <v>30</v>
      </c>
      <c r="M22" s="2"/>
    </row>
    <row r="23">
      <c r="E23" s="26" t="s">
        <v>80</v>
      </c>
      <c r="F23" s="74"/>
      <c r="H23" s="73"/>
      <c r="I23" s="32" t="s">
        <v>81</v>
      </c>
      <c r="J23" s="75">
        <v>175.48</v>
      </c>
      <c r="L23" s="32" t="s">
        <v>82</v>
      </c>
      <c r="M23" s="75">
        <v>111.79</v>
      </c>
    </row>
    <row r="24">
      <c r="E24" s="32" t="s">
        <v>83</v>
      </c>
      <c r="F24" s="75"/>
      <c r="H24" s="73"/>
      <c r="I24" s="26" t="s">
        <v>84</v>
      </c>
      <c r="J24" s="74">
        <v>264.59</v>
      </c>
      <c r="L24" s="26" t="s">
        <v>85</v>
      </c>
      <c r="M24" s="74">
        <v>153.47</v>
      </c>
    </row>
    <row r="25">
      <c r="E25" s="26"/>
      <c r="F25" s="74"/>
      <c r="H25" s="73"/>
      <c r="I25" s="32" t="s">
        <v>86</v>
      </c>
      <c r="J25" s="75">
        <v>111.82</v>
      </c>
      <c r="L25" s="32" t="s">
        <v>62</v>
      </c>
      <c r="M25" s="75">
        <v>17.25</v>
      </c>
    </row>
    <row r="26">
      <c r="E26" s="32"/>
      <c r="F26" s="75"/>
      <c r="H26" s="73"/>
      <c r="I26" s="26" t="s">
        <v>87</v>
      </c>
      <c r="J26" s="74">
        <v>142.45</v>
      </c>
      <c r="L26" s="26"/>
      <c r="M26" s="74"/>
    </row>
    <row r="27">
      <c r="E27" s="26"/>
      <c r="F27" s="74"/>
      <c r="I27" s="32" t="s">
        <v>88</v>
      </c>
      <c r="J27" s="75">
        <v>24.9</v>
      </c>
      <c r="L27" s="32"/>
      <c r="M27" s="75"/>
    </row>
    <row r="28">
      <c r="E28" s="32"/>
      <c r="F28" s="76"/>
      <c r="I28" s="26" t="s">
        <v>89</v>
      </c>
      <c r="J28" s="74">
        <v>30.35</v>
      </c>
      <c r="L28" s="26"/>
      <c r="M28" s="97"/>
    </row>
    <row r="29">
      <c r="E29" s="26"/>
      <c r="F29" s="77"/>
      <c r="I29" s="32" t="s">
        <v>89</v>
      </c>
      <c r="J29" s="75">
        <v>19.71</v>
      </c>
      <c r="L29" s="32"/>
      <c r="M29" s="75"/>
    </row>
    <row r="30">
      <c r="E30" s="32"/>
      <c r="F30" s="76"/>
      <c r="I30" s="26"/>
      <c r="J30" s="74"/>
      <c r="L30" s="26"/>
      <c r="M30" s="74"/>
    </row>
    <row r="31">
      <c r="E31" s="26"/>
      <c r="F31" s="26"/>
      <c r="I31" s="32"/>
      <c r="J31" s="75"/>
      <c r="L31" s="32"/>
      <c r="M31" s="75"/>
    </row>
    <row r="32">
      <c r="E32" s="32"/>
      <c r="F32" s="76"/>
      <c r="I32" s="57"/>
      <c r="J32" s="98"/>
      <c r="L32" s="57"/>
      <c r="M32" s="98"/>
    </row>
    <row r="33">
      <c r="E33" s="78" t="s">
        <v>28</v>
      </c>
      <c r="F33" s="79">
        <f>SUM(F22:F26)</f>
        <v>0</v>
      </c>
      <c r="I33" s="54"/>
      <c r="J33" s="99"/>
      <c r="L33" s="54"/>
      <c r="M33" s="99"/>
    </row>
    <row r="34">
      <c r="I34" s="57"/>
      <c r="J34" s="98"/>
      <c r="L34" s="57"/>
      <c r="M34" s="98"/>
    </row>
    <row r="35">
      <c r="I35" s="54"/>
      <c r="J35" s="99"/>
      <c r="L35" s="54"/>
      <c r="M35" s="99"/>
    </row>
    <row r="36">
      <c r="I36" s="57"/>
      <c r="J36" s="98"/>
      <c r="L36" s="57"/>
      <c r="M36" s="98"/>
    </row>
    <row r="37">
      <c r="I37" s="59"/>
      <c r="J37" s="100"/>
      <c r="L37" s="59"/>
      <c r="M37" s="100"/>
    </row>
    <row r="38">
      <c r="I38" s="63" t="s">
        <v>21</v>
      </c>
      <c r="J38" s="95">
        <f>SUM(J23:J37)</f>
        <v>769.3</v>
      </c>
      <c r="L38" s="63" t="s">
        <v>21</v>
      </c>
      <c r="M38" s="95">
        <f>SUM(M23:M37)</f>
        <v>282.51</v>
      </c>
    </row>
  </sheetData>
  <mergeCells count="24">
    <mergeCell ref="A1:B1"/>
    <mergeCell ref="E1:F1"/>
    <mergeCell ref="I1:J1"/>
    <mergeCell ref="A2:B2"/>
    <mergeCell ref="E2:F2"/>
    <mergeCell ref="I2:J2"/>
    <mergeCell ref="L2:M2"/>
    <mergeCell ref="L3:M3"/>
    <mergeCell ref="O3:P3"/>
    <mergeCell ref="L4:M4"/>
    <mergeCell ref="O4:P4"/>
    <mergeCell ref="L5:M5"/>
    <mergeCell ref="L6:M6"/>
    <mergeCell ref="L7:M7"/>
    <mergeCell ref="I21:J21"/>
    <mergeCell ref="I22:J22"/>
    <mergeCell ref="L22:M22"/>
    <mergeCell ref="L8:M8"/>
    <mergeCell ref="L9:M9"/>
    <mergeCell ref="L10:M10"/>
    <mergeCell ref="E20:F20"/>
    <mergeCell ref="I20:J20"/>
    <mergeCell ref="E21:F21"/>
    <mergeCell ref="L21:M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6.88"/>
    <col customWidth="1" min="4" max="4" width="5.13"/>
    <col customWidth="1" min="7" max="7" width="3.63"/>
    <col customWidth="1" min="8" max="8" width="17.63"/>
    <col customWidth="1" min="10" max="10" width="3.63"/>
    <col customWidth="1" min="13" max="13" width="3.13"/>
  </cols>
  <sheetData>
    <row r="1">
      <c r="A1" s="1" t="s">
        <v>0</v>
      </c>
      <c r="B1" s="2"/>
      <c r="C1" s="3"/>
      <c r="D1" s="4"/>
      <c r="E1" s="5" t="s">
        <v>1</v>
      </c>
      <c r="F1" s="2"/>
      <c r="G1" s="39"/>
      <c r="H1" s="70" t="s">
        <v>29</v>
      </c>
      <c r="I1" s="2"/>
      <c r="J1" s="7"/>
      <c r="K1" s="3"/>
      <c r="L1" s="3"/>
      <c r="M1" s="7"/>
      <c r="N1" s="7"/>
      <c r="O1" s="7"/>
    </row>
    <row r="2">
      <c r="A2" s="8" t="s">
        <v>30</v>
      </c>
      <c r="B2" s="9"/>
      <c r="C2" s="10" t="s">
        <v>4</v>
      </c>
      <c r="D2" s="4"/>
      <c r="E2" s="8" t="s">
        <v>30</v>
      </c>
      <c r="F2" s="9"/>
      <c r="G2" s="4"/>
      <c r="H2" s="8" t="s">
        <v>30</v>
      </c>
      <c r="I2" s="9"/>
      <c r="J2" s="4"/>
      <c r="K2" s="12" t="s">
        <v>5</v>
      </c>
      <c r="L2" s="9"/>
      <c r="M2" s="7"/>
      <c r="N2" s="3"/>
      <c r="O2" s="3"/>
    </row>
    <row r="3">
      <c r="A3" s="13" t="s">
        <v>6</v>
      </c>
      <c r="B3" s="14">
        <v>119.41</v>
      </c>
      <c r="C3" s="15"/>
      <c r="D3" s="4"/>
      <c r="E3" s="16" t="s">
        <v>31</v>
      </c>
      <c r="F3" s="17">
        <v>4500.0</v>
      </c>
      <c r="G3" s="4"/>
      <c r="H3" s="80" t="s">
        <v>90</v>
      </c>
      <c r="I3" s="81">
        <v>26.65</v>
      </c>
      <c r="J3" s="4"/>
      <c r="K3" s="20" t="s">
        <v>9</v>
      </c>
      <c r="L3" s="9"/>
      <c r="M3" s="4"/>
      <c r="N3" s="12" t="s">
        <v>10</v>
      </c>
      <c r="O3" s="9"/>
    </row>
    <row r="4">
      <c r="A4" s="21" t="s">
        <v>11</v>
      </c>
      <c r="B4" s="22">
        <v>109.99</v>
      </c>
      <c r="C4" s="23"/>
      <c r="D4" s="4"/>
      <c r="E4" s="24" t="s">
        <v>32</v>
      </c>
      <c r="F4" s="25">
        <v>3000.0</v>
      </c>
      <c r="G4" s="4"/>
      <c r="H4" s="82" t="s">
        <v>91</v>
      </c>
      <c r="I4" s="83">
        <v>106.98</v>
      </c>
      <c r="J4" s="4"/>
      <c r="K4" s="28">
        <f>B19</f>
        <v>3362.85</v>
      </c>
      <c r="L4" s="9"/>
      <c r="M4" s="7"/>
      <c r="N4" s="29">
        <f>K6-K4+K8+K10</f>
        <v>3918.3</v>
      </c>
    </row>
    <row r="5">
      <c r="A5" s="13" t="s">
        <v>13</v>
      </c>
      <c r="B5" s="14">
        <v>500.0</v>
      </c>
      <c r="C5" s="15"/>
      <c r="D5" s="4"/>
      <c r="E5" s="39"/>
      <c r="F5" s="40"/>
      <c r="G5" s="4"/>
      <c r="H5" s="80" t="s">
        <v>54</v>
      </c>
      <c r="I5" s="81">
        <v>56.78</v>
      </c>
      <c r="J5" s="4"/>
      <c r="K5" s="20" t="s">
        <v>1</v>
      </c>
      <c r="L5" s="9"/>
      <c r="M5" s="7"/>
      <c r="N5" s="7"/>
      <c r="O5" s="7"/>
    </row>
    <row r="6">
      <c r="A6" s="21" t="s">
        <v>14</v>
      </c>
      <c r="B6" s="22">
        <v>1373.0</v>
      </c>
      <c r="C6" s="34"/>
      <c r="D6" s="4"/>
      <c r="E6" s="35"/>
      <c r="F6" s="36"/>
      <c r="G6" s="4"/>
      <c r="H6" s="82" t="s">
        <v>92</v>
      </c>
      <c r="I6" s="83">
        <v>34.27</v>
      </c>
      <c r="J6" s="67"/>
      <c r="K6" s="28">
        <f>F18</f>
        <v>7500</v>
      </c>
      <c r="L6" s="9"/>
      <c r="M6" s="7"/>
      <c r="N6" s="7"/>
      <c r="O6" s="7"/>
    </row>
    <row r="7">
      <c r="A7" s="37" t="s">
        <v>15</v>
      </c>
      <c r="B7" s="38">
        <v>1260.45</v>
      </c>
      <c r="C7" s="53"/>
      <c r="D7" s="4"/>
      <c r="E7" s="39"/>
      <c r="F7" s="40"/>
      <c r="G7" s="4"/>
      <c r="H7" s="80" t="s">
        <v>93</v>
      </c>
      <c r="I7" s="81">
        <v>125.97</v>
      </c>
      <c r="K7" s="12" t="s">
        <v>16</v>
      </c>
      <c r="L7" s="9"/>
      <c r="M7" s="7"/>
      <c r="N7" s="7"/>
      <c r="O7" s="7"/>
    </row>
    <row r="8">
      <c r="A8" s="41" t="s">
        <v>17</v>
      </c>
      <c r="B8" s="22">
        <v>0.0</v>
      </c>
      <c r="C8" s="34"/>
      <c r="D8" s="4"/>
      <c r="E8" s="35"/>
      <c r="F8" s="36"/>
      <c r="G8" s="4"/>
      <c r="H8" s="82" t="s">
        <v>94</v>
      </c>
      <c r="I8" s="83">
        <v>127.49</v>
      </c>
      <c r="J8" s="7"/>
      <c r="K8" s="42">
        <f>Abril!O4</f>
        <v>-218.85</v>
      </c>
      <c r="M8" s="7"/>
      <c r="N8" s="7"/>
      <c r="O8" s="7"/>
    </row>
    <row r="9">
      <c r="A9" s="43" t="s">
        <v>43</v>
      </c>
      <c r="B9" s="38">
        <v>0.0</v>
      </c>
      <c r="C9" s="15"/>
      <c r="D9" s="4"/>
      <c r="E9" s="39"/>
      <c r="F9" s="44"/>
      <c r="G9" s="4"/>
      <c r="H9" s="80" t="s">
        <v>95</v>
      </c>
      <c r="I9" s="81">
        <v>20.03</v>
      </c>
      <c r="J9" s="7"/>
      <c r="K9" s="12" t="s">
        <v>19</v>
      </c>
      <c r="L9" s="9"/>
      <c r="M9" s="7"/>
      <c r="N9" s="7"/>
      <c r="O9" s="7"/>
    </row>
    <row r="10">
      <c r="A10" s="41" t="s">
        <v>72</v>
      </c>
      <c r="B10" s="22">
        <v>0.0</v>
      </c>
      <c r="C10" s="46"/>
      <c r="D10" s="4"/>
      <c r="E10" s="35"/>
      <c r="F10" s="45"/>
      <c r="G10" s="4"/>
      <c r="H10" s="82" t="s">
        <v>96</v>
      </c>
      <c r="I10" s="83">
        <v>1133.33</v>
      </c>
      <c r="J10" s="7"/>
      <c r="K10" s="87">
        <v>0.0</v>
      </c>
      <c r="M10" s="7"/>
      <c r="N10" s="7"/>
      <c r="O10" s="7"/>
    </row>
    <row r="11">
      <c r="A11" s="43" t="s">
        <v>45</v>
      </c>
      <c r="B11" s="14">
        <v>0.0</v>
      </c>
      <c r="C11" s="49"/>
      <c r="D11" s="4"/>
      <c r="E11" s="4"/>
      <c r="F11" s="48"/>
      <c r="G11" s="4"/>
      <c r="H11" s="80" t="s">
        <v>77</v>
      </c>
      <c r="I11" s="81">
        <v>80.46</v>
      </c>
      <c r="J11" s="7"/>
      <c r="K11" s="7"/>
      <c r="L11" s="7"/>
      <c r="M11" s="7"/>
      <c r="N11" s="7"/>
      <c r="O11" s="7"/>
    </row>
    <row r="12">
      <c r="A12" s="41"/>
      <c r="B12" s="36"/>
      <c r="C12" s="46"/>
      <c r="D12" s="4"/>
      <c r="E12" s="35"/>
      <c r="F12" s="45"/>
      <c r="G12" s="4"/>
      <c r="H12" s="89"/>
      <c r="I12" s="90"/>
      <c r="J12" s="7"/>
      <c r="K12" s="7"/>
      <c r="L12" s="7"/>
      <c r="M12" s="7"/>
      <c r="N12" s="7"/>
      <c r="O12" s="7"/>
    </row>
    <row r="13">
      <c r="A13" s="13"/>
      <c r="B13" s="88"/>
      <c r="C13" s="53"/>
      <c r="D13" s="4"/>
      <c r="E13" s="4"/>
      <c r="F13" s="48"/>
      <c r="G13" s="4"/>
      <c r="H13" s="91"/>
      <c r="I13" s="92"/>
      <c r="J13" s="7"/>
      <c r="K13" s="7"/>
      <c r="L13" s="7"/>
      <c r="M13" s="7"/>
      <c r="N13" s="7"/>
      <c r="O13" s="7"/>
    </row>
    <row r="14">
      <c r="A14" s="21"/>
      <c r="B14" s="36"/>
      <c r="C14" s="46"/>
      <c r="D14" s="4"/>
      <c r="E14" s="35"/>
      <c r="F14" s="45"/>
      <c r="G14" s="4"/>
      <c r="H14" s="89"/>
      <c r="I14" s="90"/>
      <c r="J14" s="7"/>
      <c r="K14" s="7"/>
      <c r="L14" s="7"/>
      <c r="M14" s="7"/>
      <c r="N14" s="7"/>
      <c r="O14" s="7"/>
    </row>
    <row r="15">
      <c r="A15" s="13"/>
      <c r="B15" s="88"/>
      <c r="C15" s="53"/>
      <c r="D15" s="4"/>
      <c r="E15" s="4"/>
      <c r="F15" s="48"/>
      <c r="G15" s="4"/>
      <c r="H15" s="91"/>
      <c r="I15" s="92"/>
      <c r="J15" s="7"/>
      <c r="K15" s="7"/>
      <c r="L15" s="7"/>
      <c r="M15" s="7"/>
      <c r="N15" s="7"/>
      <c r="O15" s="7"/>
    </row>
    <row r="16">
      <c r="A16" s="21"/>
      <c r="B16" s="36"/>
      <c r="C16" s="46"/>
      <c r="D16" s="4"/>
      <c r="E16" s="35"/>
      <c r="F16" s="45"/>
      <c r="G16" s="4"/>
      <c r="H16" s="89"/>
      <c r="I16" s="90"/>
      <c r="J16" s="7"/>
      <c r="K16" s="7"/>
      <c r="L16" s="7"/>
      <c r="M16" s="7"/>
      <c r="N16" s="7"/>
      <c r="O16" s="7"/>
    </row>
    <row r="17">
      <c r="A17" s="13"/>
      <c r="B17" s="88"/>
      <c r="C17" s="53"/>
      <c r="D17" s="4"/>
      <c r="E17" s="4"/>
      <c r="F17" s="48"/>
      <c r="G17" s="4"/>
      <c r="H17" s="93"/>
      <c r="I17" s="94"/>
      <c r="J17" s="7"/>
      <c r="K17" s="7"/>
      <c r="L17" s="7"/>
      <c r="M17" s="7"/>
      <c r="N17" s="7"/>
      <c r="O17" s="7"/>
    </row>
    <row r="18">
      <c r="A18" s="21"/>
      <c r="B18" s="36"/>
      <c r="C18" s="56"/>
      <c r="D18" s="4"/>
      <c r="E18" s="61" t="s">
        <v>21</v>
      </c>
      <c r="F18" s="62">
        <f>SUM(F3:F17)</f>
        <v>7500</v>
      </c>
      <c r="G18" s="7"/>
      <c r="H18" s="63" t="s">
        <v>21</v>
      </c>
      <c r="I18" s="95">
        <f>SUM(I3:I17)</f>
        <v>1711.96</v>
      </c>
      <c r="J18" s="7"/>
      <c r="K18" s="7"/>
      <c r="L18" s="7"/>
      <c r="M18" s="7"/>
      <c r="N18" s="7"/>
      <c r="O18" s="7"/>
    </row>
    <row r="19">
      <c r="A19" s="63" t="s">
        <v>21</v>
      </c>
      <c r="B19" s="95">
        <f>SUM(B3:B18)</f>
        <v>3362.85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A20" s="7"/>
      <c r="B20" s="10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B21" s="107"/>
      <c r="E21" s="70" t="s">
        <v>22</v>
      </c>
      <c r="F21" s="2"/>
      <c r="H21" s="96" t="s">
        <v>36</v>
      </c>
      <c r="I21" s="2"/>
      <c r="K21" s="96" t="s">
        <v>37</v>
      </c>
      <c r="L21" s="2"/>
    </row>
    <row r="22">
      <c r="B22" s="107"/>
      <c r="E22" s="11" t="s">
        <v>23</v>
      </c>
      <c r="F22" s="2"/>
      <c r="H22" s="11" t="s">
        <v>30</v>
      </c>
      <c r="I22" s="2"/>
      <c r="K22" s="11" t="s">
        <v>30</v>
      </c>
      <c r="L22" s="2"/>
    </row>
    <row r="23">
      <c r="B23" s="107"/>
      <c r="E23" s="18"/>
      <c r="F23" s="72"/>
      <c r="G23" s="73"/>
      <c r="H23" s="32" t="s">
        <v>81</v>
      </c>
      <c r="I23" s="75">
        <v>175.48</v>
      </c>
      <c r="K23" s="32" t="s">
        <v>97</v>
      </c>
      <c r="L23" s="75">
        <v>131.83</v>
      </c>
    </row>
    <row r="24">
      <c r="B24" s="107"/>
      <c r="E24" s="26"/>
      <c r="F24" s="74"/>
      <c r="G24" s="73"/>
      <c r="H24" s="26" t="s">
        <v>98</v>
      </c>
      <c r="I24" s="74">
        <v>264.59</v>
      </c>
      <c r="K24" s="26" t="s">
        <v>99</v>
      </c>
      <c r="L24" s="74">
        <v>111.79</v>
      </c>
    </row>
    <row r="25">
      <c r="B25" s="107"/>
      <c r="E25" s="32"/>
      <c r="F25" s="75"/>
      <c r="G25" s="73"/>
      <c r="H25" s="32" t="s">
        <v>100</v>
      </c>
      <c r="I25" s="75">
        <v>111.81</v>
      </c>
      <c r="K25" s="32" t="s">
        <v>60</v>
      </c>
      <c r="L25" s="75">
        <v>153.47</v>
      </c>
    </row>
    <row r="26">
      <c r="B26" s="107"/>
      <c r="E26" s="26"/>
      <c r="F26" s="74"/>
      <c r="G26" s="73"/>
      <c r="H26" s="26" t="s">
        <v>101</v>
      </c>
      <c r="I26" s="74">
        <v>142.45</v>
      </c>
      <c r="K26" s="26" t="s">
        <v>62</v>
      </c>
      <c r="L26" s="74">
        <v>17.25</v>
      </c>
    </row>
    <row r="27">
      <c r="B27" s="107"/>
      <c r="E27" s="32"/>
      <c r="F27" s="75"/>
      <c r="G27" s="73"/>
      <c r="H27" s="32" t="s">
        <v>63</v>
      </c>
      <c r="I27" s="75">
        <v>40.92</v>
      </c>
      <c r="K27" s="32"/>
      <c r="L27" s="75"/>
    </row>
    <row r="28">
      <c r="B28" s="107"/>
      <c r="E28" s="26"/>
      <c r="F28" s="74"/>
      <c r="H28" s="26"/>
      <c r="I28" s="74"/>
      <c r="K28" s="26"/>
      <c r="L28" s="97"/>
    </row>
    <row r="29">
      <c r="B29" s="107"/>
      <c r="E29" s="32"/>
      <c r="F29" s="76"/>
      <c r="H29" s="32"/>
      <c r="I29" s="75"/>
      <c r="K29" s="32"/>
      <c r="L29" s="75"/>
    </row>
    <row r="30">
      <c r="B30" s="107"/>
      <c r="E30" s="26"/>
      <c r="F30" s="77"/>
      <c r="H30" s="26"/>
      <c r="I30" s="74"/>
      <c r="K30" s="26"/>
      <c r="L30" s="74"/>
    </row>
    <row r="31">
      <c r="B31" s="107"/>
      <c r="E31" s="32"/>
      <c r="F31" s="76"/>
      <c r="H31" s="32"/>
      <c r="I31" s="75"/>
      <c r="K31" s="32"/>
      <c r="L31" s="75"/>
    </row>
    <row r="32">
      <c r="B32" s="107"/>
      <c r="E32" s="26"/>
      <c r="F32" s="26"/>
      <c r="H32" s="57"/>
      <c r="I32" s="98"/>
      <c r="K32" s="57"/>
      <c r="L32" s="98"/>
    </row>
    <row r="33">
      <c r="B33" s="107"/>
      <c r="E33" s="32"/>
      <c r="F33" s="76"/>
      <c r="H33" s="54"/>
      <c r="I33" s="99"/>
      <c r="K33" s="54"/>
      <c r="L33" s="99"/>
    </row>
    <row r="34">
      <c r="B34" s="107"/>
      <c r="E34" s="78" t="s">
        <v>28</v>
      </c>
      <c r="F34" s="79">
        <f>SUM(F23:F27)</f>
        <v>0</v>
      </c>
      <c r="H34" s="57"/>
      <c r="I34" s="98"/>
      <c r="K34" s="57"/>
      <c r="L34" s="98"/>
    </row>
    <row r="35">
      <c r="B35" s="107"/>
      <c r="H35" s="54"/>
      <c r="I35" s="99"/>
      <c r="K35" s="54"/>
      <c r="L35" s="99"/>
    </row>
    <row r="36">
      <c r="B36" s="107"/>
      <c r="H36" s="57"/>
      <c r="I36" s="98"/>
      <c r="K36" s="57"/>
      <c r="L36" s="98"/>
    </row>
    <row r="37">
      <c r="B37" s="107"/>
      <c r="H37" s="59"/>
      <c r="I37" s="100"/>
      <c r="K37" s="59"/>
      <c r="L37" s="100"/>
    </row>
    <row r="38">
      <c r="B38" s="107"/>
      <c r="H38" s="63" t="s">
        <v>21</v>
      </c>
      <c r="I38" s="95">
        <f>SUM(I23:I37)</f>
        <v>735.25</v>
      </c>
      <c r="K38" s="63" t="s">
        <v>21</v>
      </c>
      <c r="L38" s="95">
        <f>SUM(L23:L37)</f>
        <v>414.34</v>
      </c>
    </row>
    <row r="39">
      <c r="B39" s="107"/>
    </row>
    <row r="40">
      <c r="B40" s="107"/>
    </row>
    <row r="41">
      <c r="B41" s="107"/>
    </row>
    <row r="42">
      <c r="B42" s="107"/>
    </row>
    <row r="43">
      <c r="B43" s="107"/>
    </row>
    <row r="44">
      <c r="B44" s="107"/>
    </row>
    <row r="45">
      <c r="B45" s="107"/>
    </row>
    <row r="46">
      <c r="B46" s="107"/>
    </row>
    <row r="47">
      <c r="B47" s="107"/>
    </row>
    <row r="48">
      <c r="B48" s="107"/>
    </row>
    <row r="49">
      <c r="B49" s="107"/>
    </row>
    <row r="50">
      <c r="B50" s="107"/>
    </row>
    <row r="51">
      <c r="B51" s="107"/>
    </row>
    <row r="52">
      <c r="B52" s="107"/>
    </row>
    <row r="53">
      <c r="B53" s="107"/>
    </row>
    <row r="54">
      <c r="B54" s="107"/>
    </row>
    <row r="55">
      <c r="B55" s="107"/>
    </row>
    <row r="56">
      <c r="B56" s="107"/>
    </row>
    <row r="57">
      <c r="B57" s="107"/>
    </row>
    <row r="58">
      <c r="B58" s="107"/>
    </row>
    <row r="59">
      <c r="B59" s="107"/>
    </row>
    <row r="60">
      <c r="B60" s="107"/>
    </row>
    <row r="61">
      <c r="B61" s="107"/>
    </row>
    <row r="62">
      <c r="B62" s="107"/>
    </row>
    <row r="63">
      <c r="B63" s="107"/>
    </row>
    <row r="64">
      <c r="B64" s="107"/>
    </row>
    <row r="65">
      <c r="B65" s="107"/>
    </row>
    <row r="66">
      <c r="B66" s="107"/>
    </row>
    <row r="67">
      <c r="B67" s="107"/>
    </row>
    <row r="68">
      <c r="B68" s="107"/>
    </row>
    <row r="69">
      <c r="B69" s="107"/>
    </row>
    <row r="70">
      <c r="B70" s="107"/>
    </row>
    <row r="71">
      <c r="B71" s="107"/>
    </row>
    <row r="72">
      <c r="B72" s="107"/>
    </row>
    <row r="73">
      <c r="B73" s="107"/>
    </row>
    <row r="74">
      <c r="B74" s="107"/>
    </row>
    <row r="75">
      <c r="B75" s="107"/>
    </row>
    <row r="76">
      <c r="B76" s="107"/>
    </row>
    <row r="77">
      <c r="B77" s="107"/>
    </row>
    <row r="78">
      <c r="B78" s="107"/>
    </row>
    <row r="79">
      <c r="B79" s="107"/>
    </row>
    <row r="80">
      <c r="B80" s="107"/>
    </row>
    <row r="81">
      <c r="B81" s="107"/>
    </row>
    <row r="82">
      <c r="B82" s="107"/>
    </row>
    <row r="83">
      <c r="B83" s="107"/>
    </row>
    <row r="84">
      <c r="B84" s="107"/>
    </row>
    <row r="85">
      <c r="B85" s="107"/>
    </row>
    <row r="86">
      <c r="B86" s="107"/>
    </row>
    <row r="87">
      <c r="B87" s="107"/>
    </row>
    <row r="88">
      <c r="B88" s="107"/>
    </row>
    <row r="89">
      <c r="B89" s="107"/>
    </row>
    <row r="90">
      <c r="B90" s="107"/>
    </row>
    <row r="91">
      <c r="B91" s="107"/>
    </row>
    <row r="92">
      <c r="B92" s="107"/>
    </row>
    <row r="93">
      <c r="B93" s="107"/>
    </row>
    <row r="94">
      <c r="B94" s="107"/>
    </row>
    <row r="95">
      <c r="B95" s="107"/>
    </row>
    <row r="96">
      <c r="B96" s="107"/>
    </row>
    <row r="97">
      <c r="B97" s="107"/>
    </row>
    <row r="98">
      <c r="B98" s="107"/>
    </row>
    <row r="99">
      <c r="B99" s="107"/>
    </row>
    <row r="100">
      <c r="B100" s="107"/>
    </row>
    <row r="101">
      <c r="B101" s="107"/>
    </row>
    <row r="102">
      <c r="B102" s="107"/>
    </row>
    <row r="103">
      <c r="B103" s="107"/>
    </row>
    <row r="104">
      <c r="B104" s="107"/>
    </row>
    <row r="105">
      <c r="B105" s="107"/>
    </row>
    <row r="106">
      <c r="B106" s="107"/>
    </row>
    <row r="107">
      <c r="B107" s="107"/>
    </row>
    <row r="108">
      <c r="B108" s="107"/>
    </row>
    <row r="109">
      <c r="B109" s="107"/>
    </row>
    <row r="110">
      <c r="B110" s="107"/>
    </row>
    <row r="111">
      <c r="B111" s="107"/>
    </row>
    <row r="112">
      <c r="B112" s="107"/>
    </row>
    <row r="113">
      <c r="B113" s="107"/>
    </row>
    <row r="114">
      <c r="B114" s="107"/>
    </row>
    <row r="115">
      <c r="B115" s="107"/>
    </row>
    <row r="116">
      <c r="B116" s="107"/>
    </row>
    <row r="117">
      <c r="B117" s="107"/>
    </row>
    <row r="118">
      <c r="B118" s="107"/>
    </row>
    <row r="119">
      <c r="B119" s="107"/>
    </row>
    <row r="120">
      <c r="B120" s="107"/>
    </row>
    <row r="121">
      <c r="B121" s="107"/>
    </row>
    <row r="122">
      <c r="B122" s="107"/>
    </row>
    <row r="123">
      <c r="B123" s="107"/>
    </row>
    <row r="124">
      <c r="B124" s="107"/>
    </row>
    <row r="125">
      <c r="B125" s="107"/>
    </row>
    <row r="126">
      <c r="B126" s="107"/>
    </row>
    <row r="127">
      <c r="B127" s="107"/>
    </row>
    <row r="128">
      <c r="B128" s="107"/>
    </row>
    <row r="129">
      <c r="B129" s="107"/>
    </row>
    <row r="130">
      <c r="B130" s="107"/>
    </row>
    <row r="131">
      <c r="B131" s="107"/>
    </row>
    <row r="132">
      <c r="B132" s="107"/>
    </row>
    <row r="133">
      <c r="B133" s="107"/>
    </row>
    <row r="134">
      <c r="B134" s="107"/>
    </row>
    <row r="135">
      <c r="B135" s="107"/>
    </row>
    <row r="136">
      <c r="B136" s="107"/>
    </row>
    <row r="137">
      <c r="B137" s="107"/>
    </row>
    <row r="138">
      <c r="B138" s="107"/>
    </row>
    <row r="139">
      <c r="B139" s="107"/>
    </row>
    <row r="140">
      <c r="B140" s="107"/>
    </row>
    <row r="141">
      <c r="B141" s="107"/>
    </row>
    <row r="142">
      <c r="B142" s="107"/>
    </row>
    <row r="143">
      <c r="B143" s="107"/>
    </row>
    <row r="144">
      <c r="B144" s="107"/>
    </row>
    <row r="145">
      <c r="B145" s="107"/>
    </row>
    <row r="146">
      <c r="B146" s="107"/>
    </row>
    <row r="147">
      <c r="B147" s="107"/>
    </row>
    <row r="148">
      <c r="B148" s="107"/>
    </row>
    <row r="149">
      <c r="B149" s="107"/>
    </row>
    <row r="150">
      <c r="B150" s="107"/>
    </row>
    <row r="151">
      <c r="B151" s="107"/>
    </row>
    <row r="152">
      <c r="B152" s="107"/>
    </row>
    <row r="153">
      <c r="B153" s="107"/>
    </row>
    <row r="154">
      <c r="B154" s="107"/>
    </row>
    <row r="155">
      <c r="B155" s="107"/>
    </row>
    <row r="156">
      <c r="B156" s="107"/>
    </row>
    <row r="157">
      <c r="B157" s="107"/>
    </row>
    <row r="158">
      <c r="B158" s="107"/>
    </row>
    <row r="159">
      <c r="B159" s="107"/>
    </row>
    <row r="160">
      <c r="B160" s="107"/>
    </row>
    <row r="161">
      <c r="B161" s="107"/>
    </row>
    <row r="162">
      <c r="B162" s="107"/>
    </row>
    <row r="163">
      <c r="B163" s="107"/>
    </row>
    <row r="164">
      <c r="B164" s="107"/>
    </row>
    <row r="165">
      <c r="B165" s="107"/>
    </row>
    <row r="166">
      <c r="B166" s="107"/>
    </row>
    <row r="167">
      <c r="B167" s="107"/>
    </row>
    <row r="168">
      <c r="B168" s="107"/>
    </row>
    <row r="169">
      <c r="B169" s="107"/>
    </row>
    <row r="170">
      <c r="B170" s="107"/>
    </row>
    <row r="171">
      <c r="B171" s="107"/>
    </row>
    <row r="172">
      <c r="B172" s="107"/>
    </row>
    <row r="173">
      <c r="B173" s="107"/>
    </row>
    <row r="174">
      <c r="B174" s="107"/>
    </row>
    <row r="175">
      <c r="B175" s="107"/>
    </row>
    <row r="176">
      <c r="B176" s="107"/>
    </row>
    <row r="177">
      <c r="B177" s="107"/>
    </row>
    <row r="178">
      <c r="B178" s="107"/>
    </row>
    <row r="179">
      <c r="B179" s="107"/>
    </row>
    <row r="180">
      <c r="B180" s="107"/>
    </row>
    <row r="181">
      <c r="B181" s="107"/>
    </row>
    <row r="182">
      <c r="B182" s="107"/>
    </row>
    <row r="183">
      <c r="B183" s="107"/>
    </row>
    <row r="184">
      <c r="B184" s="107"/>
    </row>
    <row r="185">
      <c r="B185" s="107"/>
    </row>
    <row r="186">
      <c r="B186" s="107"/>
    </row>
    <row r="187">
      <c r="B187" s="107"/>
    </row>
    <row r="188">
      <c r="B188" s="107"/>
    </row>
    <row r="189">
      <c r="B189" s="107"/>
    </row>
    <row r="190">
      <c r="B190" s="107"/>
    </row>
    <row r="191">
      <c r="B191" s="107"/>
    </row>
    <row r="192">
      <c r="B192" s="107"/>
    </row>
    <row r="193">
      <c r="B193" s="107"/>
    </row>
    <row r="194">
      <c r="B194" s="107"/>
    </row>
    <row r="195">
      <c r="B195" s="107"/>
    </row>
    <row r="196">
      <c r="B196" s="107"/>
    </row>
    <row r="197">
      <c r="B197" s="107"/>
    </row>
    <row r="198">
      <c r="B198" s="107"/>
    </row>
    <row r="199">
      <c r="B199" s="107"/>
    </row>
    <row r="200">
      <c r="B200" s="107"/>
    </row>
    <row r="201">
      <c r="B201" s="107"/>
    </row>
    <row r="202">
      <c r="B202" s="107"/>
    </row>
    <row r="203">
      <c r="B203" s="107"/>
    </row>
    <row r="204">
      <c r="B204" s="107"/>
    </row>
    <row r="205">
      <c r="B205" s="107"/>
    </row>
    <row r="206">
      <c r="B206" s="107"/>
    </row>
    <row r="207">
      <c r="B207" s="107"/>
    </row>
    <row r="208">
      <c r="B208" s="107"/>
    </row>
    <row r="209">
      <c r="B209" s="107"/>
    </row>
    <row r="210">
      <c r="B210" s="107"/>
    </row>
    <row r="211">
      <c r="B211" s="107"/>
    </row>
    <row r="212">
      <c r="B212" s="107"/>
    </row>
    <row r="213">
      <c r="B213" s="107"/>
    </row>
    <row r="214">
      <c r="B214" s="107"/>
    </row>
    <row r="215">
      <c r="B215" s="107"/>
    </row>
    <row r="216">
      <c r="B216" s="107"/>
    </row>
    <row r="217">
      <c r="B217" s="107"/>
    </row>
    <row r="218">
      <c r="B218" s="107"/>
    </row>
    <row r="219">
      <c r="B219" s="107"/>
    </row>
    <row r="220">
      <c r="B220" s="107"/>
    </row>
    <row r="221">
      <c r="B221" s="107"/>
    </row>
    <row r="222">
      <c r="B222" s="107"/>
    </row>
    <row r="223">
      <c r="B223" s="107"/>
    </row>
    <row r="224">
      <c r="B224" s="107"/>
    </row>
    <row r="225">
      <c r="B225" s="107"/>
    </row>
    <row r="226">
      <c r="B226" s="107"/>
    </row>
    <row r="227">
      <c r="B227" s="107"/>
    </row>
    <row r="228">
      <c r="B228" s="107"/>
    </row>
    <row r="229">
      <c r="B229" s="107"/>
    </row>
    <row r="230">
      <c r="B230" s="107"/>
    </row>
    <row r="231">
      <c r="B231" s="107"/>
    </row>
    <row r="232">
      <c r="B232" s="107"/>
    </row>
    <row r="233">
      <c r="B233" s="107"/>
    </row>
    <row r="234">
      <c r="B234" s="107"/>
    </row>
    <row r="235">
      <c r="B235" s="107"/>
    </row>
    <row r="236">
      <c r="B236" s="107"/>
    </row>
    <row r="237">
      <c r="B237" s="107"/>
    </row>
    <row r="238">
      <c r="B238" s="107"/>
    </row>
    <row r="239">
      <c r="B239" s="107"/>
    </row>
    <row r="240">
      <c r="B240" s="107"/>
    </row>
    <row r="241">
      <c r="B241" s="107"/>
    </row>
    <row r="242">
      <c r="B242" s="107"/>
    </row>
    <row r="243">
      <c r="B243" s="107"/>
    </row>
    <row r="244">
      <c r="B244" s="107"/>
    </row>
    <row r="245">
      <c r="B245" s="107"/>
    </row>
    <row r="246">
      <c r="B246" s="107"/>
    </row>
    <row r="247">
      <c r="B247" s="107"/>
    </row>
    <row r="248">
      <c r="B248" s="107"/>
    </row>
    <row r="249">
      <c r="B249" s="107"/>
    </row>
    <row r="250">
      <c r="B250" s="107"/>
    </row>
    <row r="251">
      <c r="B251" s="107"/>
    </row>
    <row r="252">
      <c r="B252" s="107"/>
    </row>
    <row r="253">
      <c r="B253" s="107"/>
    </row>
    <row r="254">
      <c r="B254" s="107"/>
    </row>
    <row r="255">
      <c r="B255" s="107"/>
    </row>
    <row r="256">
      <c r="B256" s="107"/>
    </row>
    <row r="257">
      <c r="B257" s="107"/>
    </row>
    <row r="258">
      <c r="B258" s="107"/>
    </row>
    <row r="259">
      <c r="B259" s="107"/>
    </row>
    <row r="260">
      <c r="B260" s="107"/>
    </row>
    <row r="261">
      <c r="B261" s="107"/>
    </row>
    <row r="262">
      <c r="B262" s="107"/>
    </row>
    <row r="263">
      <c r="B263" s="107"/>
    </row>
    <row r="264">
      <c r="B264" s="107"/>
    </row>
    <row r="265">
      <c r="B265" s="107"/>
    </row>
    <row r="266">
      <c r="B266" s="107"/>
    </row>
    <row r="267">
      <c r="B267" s="107"/>
    </row>
    <row r="268">
      <c r="B268" s="107"/>
    </row>
    <row r="269">
      <c r="B269" s="107"/>
    </row>
    <row r="270">
      <c r="B270" s="107"/>
    </row>
    <row r="271">
      <c r="B271" s="107"/>
    </row>
    <row r="272">
      <c r="B272" s="107"/>
    </row>
    <row r="273">
      <c r="B273" s="107"/>
    </row>
    <row r="274">
      <c r="B274" s="107"/>
    </row>
    <row r="275">
      <c r="B275" s="107"/>
    </row>
    <row r="276">
      <c r="B276" s="107"/>
    </row>
    <row r="277">
      <c r="B277" s="107"/>
    </row>
    <row r="278">
      <c r="B278" s="107"/>
    </row>
    <row r="279">
      <c r="B279" s="107"/>
    </row>
    <row r="280">
      <c r="B280" s="107"/>
    </row>
    <row r="281">
      <c r="B281" s="107"/>
    </row>
    <row r="282">
      <c r="B282" s="107"/>
    </row>
    <row r="283">
      <c r="B283" s="107"/>
    </row>
    <row r="284">
      <c r="B284" s="107"/>
    </row>
    <row r="285">
      <c r="B285" s="107"/>
    </row>
    <row r="286">
      <c r="B286" s="107"/>
    </row>
    <row r="287">
      <c r="B287" s="107"/>
    </row>
    <row r="288">
      <c r="B288" s="107"/>
    </row>
    <row r="289">
      <c r="B289" s="107"/>
    </row>
    <row r="290">
      <c r="B290" s="107"/>
    </row>
    <row r="291">
      <c r="B291" s="107"/>
    </row>
    <row r="292">
      <c r="B292" s="107"/>
    </row>
    <row r="293">
      <c r="B293" s="107"/>
    </row>
    <row r="294">
      <c r="B294" s="107"/>
    </row>
    <row r="295">
      <c r="B295" s="107"/>
    </row>
    <row r="296">
      <c r="B296" s="107"/>
    </row>
    <row r="297">
      <c r="B297" s="107"/>
    </row>
    <row r="298">
      <c r="B298" s="107"/>
    </row>
    <row r="299">
      <c r="B299" s="107"/>
    </row>
    <row r="300">
      <c r="B300" s="107"/>
    </row>
    <row r="301">
      <c r="B301" s="107"/>
    </row>
    <row r="302">
      <c r="B302" s="107"/>
    </row>
    <row r="303">
      <c r="B303" s="107"/>
    </row>
    <row r="304">
      <c r="B304" s="107"/>
    </row>
    <row r="305">
      <c r="B305" s="107"/>
    </row>
    <row r="306">
      <c r="B306" s="107"/>
    </row>
    <row r="307">
      <c r="B307" s="107"/>
    </row>
    <row r="308">
      <c r="B308" s="107"/>
    </row>
    <row r="309">
      <c r="B309" s="107"/>
    </row>
    <row r="310">
      <c r="B310" s="107"/>
    </row>
    <row r="311">
      <c r="B311" s="107"/>
    </row>
    <row r="312">
      <c r="B312" s="107"/>
    </row>
    <row r="313">
      <c r="B313" s="107"/>
    </row>
    <row r="314">
      <c r="B314" s="107"/>
    </row>
    <row r="315">
      <c r="B315" s="107"/>
    </row>
    <row r="316">
      <c r="B316" s="107"/>
    </row>
    <row r="317">
      <c r="B317" s="107"/>
    </row>
    <row r="318">
      <c r="B318" s="107"/>
    </row>
    <row r="319">
      <c r="B319" s="107"/>
    </row>
    <row r="320">
      <c r="B320" s="107"/>
    </row>
    <row r="321">
      <c r="B321" s="107"/>
    </row>
    <row r="322">
      <c r="B322" s="107"/>
    </row>
    <row r="323">
      <c r="B323" s="107"/>
    </row>
    <row r="324">
      <c r="B324" s="107"/>
    </row>
    <row r="325">
      <c r="B325" s="107"/>
    </row>
    <row r="326">
      <c r="B326" s="107"/>
    </row>
    <row r="327">
      <c r="B327" s="107"/>
    </row>
    <row r="328">
      <c r="B328" s="107"/>
    </row>
    <row r="329">
      <c r="B329" s="107"/>
    </row>
    <row r="330">
      <c r="B330" s="107"/>
    </row>
    <row r="331">
      <c r="B331" s="107"/>
    </row>
    <row r="332">
      <c r="B332" s="107"/>
    </row>
    <row r="333">
      <c r="B333" s="107"/>
    </row>
    <row r="334">
      <c r="B334" s="107"/>
    </row>
    <row r="335">
      <c r="B335" s="107"/>
    </row>
    <row r="336">
      <c r="B336" s="107"/>
    </row>
    <row r="337">
      <c r="B337" s="107"/>
    </row>
    <row r="338">
      <c r="B338" s="107"/>
    </row>
    <row r="339">
      <c r="B339" s="107"/>
    </row>
    <row r="340">
      <c r="B340" s="107"/>
    </row>
    <row r="341">
      <c r="B341" s="107"/>
    </row>
    <row r="342">
      <c r="B342" s="107"/>
    </row>
    <row r="343">
      <c r="B343" s="107"/>
    </row>
    <row r="344">
      <c r="B344" s="107"/>
    </row>
    <row r="345">
      <c r="B345" s="107"/>
    </row>
    <row r="346">
      <c r="B346" s="107"/>
    </row>
    <row r="347">
      <c r="B347" s="107"/>
    </row>
    <row r="348">
      <c r="B348" s="107"/>
    </row>
    <row r="349">
      <c r="B349" s="107"/>
    </row>
    <row r="350">
      <c r="B350" s="107"/>
    </row>
    <row r="351">
      <c r="B351" s="107"/>
    </row>
    <row r="352">
      <c r="B352" s="107"/>
    </row>
    <row r="353">
      <c r="B353" s="107"/>
    </row>
    <row r="354">
      <c r="B354" s="107"/>
    </row>
    <row r="355">
      <c r="B355" s="107"/>
    </row>
    <row r="356">
      <c r="B356" s="107"/>
    </row>
    <row r="357">
      <c r="B357" s="107"/>
    </row>
    <row r="358">
      <c r="B358" s="107"/>
    </row>
    <row r="359">
      <c r="B359" s="107"/>
    </row>
    <row r="360">
      <c r="B360" s="107"/>
    </row>
    <row r="361">
      <c r="B361" s="107"/>
    </row>
    <row r="362">
      <c r="B362" s="107"/>
    </row>
    <row r="363">
      <c r="B363" s="107"/>
    </row>
    <row r="364">
      <c r="B364" s="107"/>
    </row>
    <row r="365">
      <c r="B365" s="107"/>
    </row>
    <row r="366">
      <c r="B366" s="107"/>
    </row>
    <row r="367">
      <c r="B367" s="107"/>
    </row>
    <row r="368">
      <c r="B368" s="107"/>
    </row>
    <row r="369">
      <c r="B369" s="107"/>
    </row>
    <row r="370">
      <c r="B370" s="107"/>
    </row>
    <row r="371">
      <c r="B371" s="107"/>
    </row>
    <row r="372">
      <c r="B372" s="107"/>
    </row>
    <row r="373">
      <c r="B373" s="107"/>
    </row>
    <row r="374">
      <c r="B374" s="107"/>
    </row>
    <row r="375">
      <c r="B375" s="107"/>
    </row>
    <row r="376">
      <c r="B376" s="107"/>
    </row>
    <row r="377">
      <c r="B377" s="107"/>
    </row>
    <row r="378">
      <c r="B378" s="107"/>
    </row>
    <row r="379">
      <c r="B379" s="107"/>
    </row>
    <row r="380">
      <c r="B380" s="107"/>
    </row>
    <row r="381">
      <c r="B381" s="107"/>
    </row>
    <row r="382">
      <c r="B382" s="107"/>
    </row>
    <row r="383">
      <c r="B383" s="107"/>
    </row>
    <row r="384">
      <c r="B384" s="107"/>
    </row>
    <row r="385">
      <c r="B385" s="107"/>
    </row>
    <row r="386">
      <c r="B386" s="107"/>
    </row>
    <row r="387">
      <c r="B387" s="107"/>
    </row>
    <row r="388">
      <c r="B388" s="107"/>
    </row>
    <row r="389">
      <c r="B389" s="107"/>
    </row>
    <row r="390">
      <c r="B390" s="107"/>
    </row>
    <row r="391">
      <c r="B391" s="107"/>
    </row>
    <row r="392">
      <c r="B392" s="107"/>
    </row>
    <row r="393">
      <c r="B393" s="107"/>
    </row>
    <row r="394">
      <c r="B394" s="107"/>
    </row>
    <row r="395">
      <c r="B395" s="107"/>
    </row>
    <row r="396">
      <c r="B396" s="107"/>
    </row>
    <row r="397">
      <c r="B397" s="107"/>
    </row>
    <row r="398">
      <c r="B398" s="107"/>
    </row>
    <row r="399">
      <c r="B399" s="107"/>
    </row>
    <row r="400">
      <c r="B400" s="107"/>
    </row>
    <row r="401">
      <c r="B401" s="107"/>
    </row>
    <row r="402">
      <c r="B402" s="107"/>
    </row>
    <row r="403">
      <c r="B403" s="107"/>
    </row>
    <row r="404">
      <c r="B404" s="107"/>
    </row>
    <row r="405">
      <c r="B405" s="107"/>
    </row>
    <row r="406">
      <c r="B406" s="107"/>
    </row>
    <row r="407">
      <c r="B407" s="107"/>
    </row>
    <row r="408">
      <c r="B408" s="107"/>
    </row>
    <row r="409">
      <c r="B409" s="107"/>
    </row>
    <row r="410">
      <c r="B410" s="107"/>
    </row>
    <row r="411">
      <c r="B411" s="107"/>
    </row>
    <row r="412">
      <c r="B412" s="107"/>
    </row>
    <row r="413">
      <c r="B413" s="107"/>
    </row>
    <row r="414">
      <c r="B414" s="107"/>
    </row>
    <row r="415">
      <c r="B415" s="107"/>
    </row>
    <row r="416">
      <c r="B416" s="107"/>
    </row>
    <row r="417">
      <c r="B417" s="107"/>
    </row>
    <row r="418">
      <c r="B418" s="107"/>
    </row>
    <row r="419">
      <c r="B419" s="107"/>
    </row>
    <row r="420">
      <c r="B420" s="107"/>
    </row>
    <row r="421">
      <c r="B421" s="107"/>
    </row>
    <row r="422">
      <c r="B422" s="107"/>
    </row>
    <row r="423">
      <c r="B423" s="107"/>
    </row>
    <row r="424">
      <c r="B424" s="107"/>
    </row>
    <row r="425">
      <c r="B425" s="107"/>
    </row>
    <row r="426">
      <c r="B426" s="107"/>
    </row>
    <row r="427">
      <c r="B427" s="107"/>
    </row>
    <row r="428">
      <c r="B428" s="107"/>
    </row>
    <row r="429">
      <c r="B429" s="107"/>
    </row>
    <row r="430">
      <c r="B430" s="107"/>
    </row>
    <row r="431">
      <c r="B431" s="107"/>
    </row>
    <row r="432">
      <c r="B432" s="107"/>
    </row>
    <row r="433">
      <c r="B433" s="107"/>
    </row>
    <row r="434">
      <c r="B434" s="107"/>
    </row>
    <row r="435">
      <c r="B435" s="107"/>
    </row>
    <row r="436">
      <c r="B436" s="107"/>
    </row>
    <row r="437">
      <c r="B437" s="107"/>
    </row>
    <row r="438">
      <c r="B438" s="107"/>
    </row>
    <row r="439">
      <c r="B439" s="107"/>
    </row>
    <row r="440">
      <c r="B440" s="107"/>
    </row>
    <row r="441">
      <c r="B441" s="107"/>
    </row>
    <row r="442">
      <c r="B442" s="107"/>
    </row>
    <row r="443">
      <c r="B443" s="107"/>
    </row>
    <row r="444">
      <c r="B444" s="107"/>
    </row>
    <row r="445">
      <c r="B445" s="107"/>
    </row>
    <row r="446">
      <c r="B446" s="107"/>
    </row>
    <row r="447">
      <c r="B447" s="107"/>
    </row>
    <row r="448">
      <c r="B448" s="107"/>
    </row>
    <row r="449">
      <c r="B449" s="107"/>
    </row>
    <row r="450">
      <c r="B450" s="107"/>
    </row>
    <row r="451">
      <c r="B451" s="107"/>
    </row>
    <row r="452">
      <c r="B452" s="107"/>
    </row>
    <row r="453">
      <c r="B453" s="107"/>
    </row>
    <row r="454">
      <c r="B454" s="107"/>
    </row>
    <row r="455">
      <c r="B455" s="107"/>
    </row>
    <row r="456">
      <c r="B456" s="107"/>
    </row>
    <row r="457">
      <c r="B457" s="107"/>
    </row>
    <row r="458">
      <c r="B458" s="107"/>
    </row>
    <row r="459">
      <c r="B459" s="107"/>
    </row>
    <row r="460">
      <c r="B460" s="107"/>
    </row>
    <row r="461">
      <c r="B461" s="107"/>
    </row>
    <row r="462">
      <c r="B462" s="107"/>
    </row>
    <row r="463">
      <c r="B463" s="107"/>
    </row>
    <row r="464">
      <c r="B464" s="107"/>
    </row>
    <row r="465">
      <c r="B465" s="107"/>
    </row>
    <row r="466">
      <c r="B466" s="107"/>
    </row>
    <row r="467">
      <c r="B467" s="107"/>
    </row>
    <row r="468">
      <c r="B468" s="107"/>
    </row>
    <row r="469">
      <c r="B469" s="107"/>
    </row>
    <row r="470">
      <c r="B470" s="107"/>
    </row>
    <row r="471">
      <c r="B471" s="107"/>
    </row>
    <row r="472">
      <c r="B472" s="107"/>
    </row>
    <row r="473">
      <c r="B473" s="107"/>
    </row>
    <row r="474">
      <c r="B474" s="107"/>
    </row>
    <row r="475">
      <c r="B475" s="107"/>
    </row>
    <row r="476">
      <c r="B476" s="107"/>
    </row>
    <row r="477">
      <c r="B477" s="107"/>
    </row>
    <row r="478">
      <c r="B478" s="107"/>
    </row>
    <row r="479">
      <c r="B479" s="107"/>
    </row>
    <row r="480">
      <c r="B480" s="107"/>
    </row>
    <row r="481">
      <c r="B481" s="107"/>
    </row>
    <row r="482">
      <c r="B482" s="107"/>
    </row>
    <row r="483">
      <c r="B483" s="107"/>
    </row>
    <row r="484">
      <c r="B484" s="107"/>
    </row>
    <row r="485">
      <c r="B485" s="107"/>
    </row>
    <row r="486">
      <c r="B486" s="107"/>
    </row>
    <row r="487">
      <c r="B487" s="107"/>
    </row>
    <row r="488">
      <c r="B488" s="107"/>
    </row>
    <row r="489">
      <c r="B489" s="107"/>
    </row>
    <row r="490">
      <c r="B490" s="107"/>
    </row>
    <row r="491">
      <c r="B491" s="107"/>
    </row>
    <row r="492">
      <c r="B492" s="107"/>
    </row>
    <row r="493">
      <c r="B493" s="107"/>
    </row>
    <row r="494">
      <c r="B494" s="107"/>
    </row>
    <row r="495">
      <c r="B495" s="107"/>
    </row>
    <row r="496">
      <c r="B496" s="107"/>
    </row>
    <row r="497">
      <c r="B497" s="107"/>
    </row>
    <row r="498">
      <c r="B498" s="107"/>
    </row>
    <row r="499">
      <c r="B499" s="107"/>
    </row>
    <row r="500">
      <c r="B500" s="107"/>
    </row>
    <row r="501">
      <c r="B501" s="107"/>
    </row>
    <row r="502">
      <c r="B502" s="107"/>
    </row>
    <row r="503">
      <c r="B503" s="107"/>
    </row>
    <row r="504">
      <c r="B504" s="107"/>
    </row>
    <row r="505">
      <c r="B505" s="107"/>
    </row>
    <row r="506">
      <c r="B506" s="107"/>
    </row>
    <row r="507">
      <c r="B507" s="107"/>
    </row>
    <row r="508">
      <c r="B508" s="107"/>
    </row>
    <row r="509">
      <c r="B509" s="107"/>
    </row>
    <row r="510">
      <c r="B510" s="107"/>
    </row>
    <row r="511">
      <c r="B511" s="107"/>
    </row>
    <row r="512">
      <c r="B512" s="107"/>
    </row>
    <row r="513">
      <c r="B513" s="107"/>
    </row>
    <row r="514">
      <c r="B514" s="107"/>
    </row>
    <row r="515">
      <c r="B515" s="107"/>
    </row>
    <row r="516">
      <c r="B516" s="107"/>
    </row>
    <row r="517">
      <c r="B517" s="107"/>
    </row>
    <row r="518">
      <c r="B518" s="107"/>
    </row>
    <row r="519">
      <c r="B519" s="107"/>
    </row>
    <row r="520">
      <c r="B520" s="107"/>
    </row>
    <row r="521">
      <c r="B521" s="107"/>
    </row>
    <row r="522">
      <c r="B522" s="107"/>
    </row>
    <row r="523">
      <c r="B523" s="107"/>
    </row>
    <row r="524">
      <c r="B524" s="107"/>
    </row>
    <row r="525">
      <c r="B525" s="107"/>
    </row>
    <row r="526">
      <c r="B526" s="107"/>
    </row>
    <row r="527">
      <c r="B527" s="107"/>
    </row>
    <row r="528">
      <c r="B528" s="107"/>
    </row>
    <row r="529">
      <c r="B529" s="107"/>
    </row>
    <row r="530">
      <c r="B530" s="107"/>
    </row>
    <row r="531">
      <c r="B531" s="107"/>
    </row>
    <row r="532">
      <c r="B532" s="107"/>
    </row>
    <row r="533">
      <c r="B533" s="107"/>
    </row>
    <row r="534">
      <c r="B534" s="107"/>
    </row>
    <row r="535">
      <c r="B535" s="107"/>
    </row>
    <row r="536">
      <c r="B536" s="107"/>
    </row>
    <row r="537">
      <c r="B537" s="107"/>
    </row>
    <row r="538">
      <c r="B538" s="107"/>
    </row>
    <row r="539">
      <c r="B539" s="107"/>
    </row>
    <row r="540">
      <c r="B540" s="107"/>
    </row>
    <row r="541">
      <c r="B541" s="107"/>
    </row>
    <row r="542">
      <c r="B542" s="107"/>
    </row>
    <row r="543">
      <c r="B543" s="107"/>
    </row>
    <row r="544">
      <c r="B544" s="107"/>
    </row>
    <row r="545">
      <c r="B545" s="107"/>
    </row>
    <row r="546">
      <c r="B546" s="107"/>
    </row>
    <row r="547">
      <c r="B547" s="107"/>
    </row>
    <row r="548">
      <c r="B548" s="107"/>
    </row>
    <row r="549">
      <c r="B549" s="107"/>
    </row>
    <row r="550">
      <c r="B550" s="107"/>
    </row>
    <row r="551">
      <c r="B551" s="107"/>
    </row>
    <row r="552">
      <c r="B552" s="107"/>
    </row>
    <row r="553">
      <c r="B553" s="107"/>
    </row>
    <row r="554">
      <c r="B554" s="107"/>
    </row>
    <row r="555">
      <c r="B555" s="107"/>
    </row>
    <row r="556">
      <c r="B556" s="107"/>
    </row>
    <row r="557">
      <c r="B557" s="107"/>
    </row>
    <row r="558">
      <c r="B558" s="107"/>
    </row>
    <row r="559">
      <c r="B559" s="107"/>
    </row>
    <row r="560">
      <c r="B560" s="107"/>
    </row>
    <row r="561">
      <c r="B561" s="107"/>
    </row>
    <row r="562">
      <c r="B562" s="107"/>
    </row>
    <row r="563">
      <c r="B563" s="107"/>
    </row>
    <row r="564">
      <c r="B564" s="107"/>
    </row>
    <row r="565">
      <c r="B565" s="107"/>
    </row>
    <row r="566">
      <c r="B566" s="107"/>
    </row>
    <row r="567">
      <c r="B567" s="107"/>
    </row>
    <row r="568">
      <c r="B568" s="107"/>
    </row>
    <row r="569">
      <c r="B569" s="107"/>
    </row>
    <row r="570">
      <c r="B570" s="107"/>
    </row>
    <row r="571">
      <c r="B571" s="107"/>
    </row>
    <row r="572">
      <c r="B572" s="107"/>
    </row>
    <row r="573">
      <c r="B573" s="107"/>
    </row>
    <row r="574">
      <c r="B574" s="107"/>
    </row>
    <row r="575">
      <c r="B575" s="107"/>
    </row>
    <row r="576">
      <c r="B576" s="107"/>
    </row>
    <row r="577">
      <c r="B577" s="107"/>
    </row>
    <row r="578">
      <c r="B578" s="107"/>
    </row>
    <row r="579">
      <c r="B579" s="107"/>
    </row>
    <row r="580">
      <c r="B580" s="107"/>
    </row>
    <row r="581">
      <c r="B581" s="107"/>
    </row>
    <row r="582">
      <c r="B582" s="107"/>
    </row>
    <row r="583">
      <c r="B583" s="107"/>
    </row>
    <row r="584">
      <c r="B584" s="107"/>
    </row>
    <row r="585">
      <c r="B585" s="107"/>
    </row>
    <row r="586">
      <c r="B586" s="107"/>
    </row>
    <row r="587">
      <c r="B587" s="107"/>
    </row>
    <row r="588">
      <c r="B588" s="107"/>
    </row>
    <row r="589">
      <c r="B589" s="107"/>
    </row>
    <row r="590">
      <c r="B590" s="107"/>
    </row>
    <row r="591">
      <c r="B591" s="107"/>
    </row>
    <row r="592">
      <c r="B592" s="107"/>
    </row>
    <row r="593">
      <c r="B593" s="107"/>
    </row>
    <row r="594">
      <c r="B594" s="107"/>
    </row>
    <row r="595">
      <c r="B595" s="107"/>
    </row>
    <row r="596">
      <c r="B596" s="107"/>
    </row>
    <row r="597">
      <c r="B597" s="107"/>
    </row>
    <row r="598">
      <c r="B598" s="107"/>
    </row>
    <row r="599">
      <c r="B599" s="107"/>
    </row>
    <row r="600">
      <c r="B600" s="107"/>
    </row>
    <row r="601">
      <c r="B601" s="107"/>
    </row>
    <row r="602">
      <c r="B602" s="107"/>
    </row>
    <row r="603">
      <c r="B603" s="107"/>
    </row>
    <row r="604">
      <c r="B604" s="107"/>
    </row>
    <row r="605">
      <c r="B605" s="107"/>
    </row>
    <row r="606">
      <c r="B606" s="107"/>
    </row>
    <row r="607">
      <c r="B607" s="107"/>
    </row>
    <row r="608">
      <c r="B608" s="107"/>
    </row>
    <row r="609">
      <c r="B609" s="107"/>
    </row>
    <row r="610">
      <c r="B610" s="107"/>
    </row>
    <row r="611">
      <c r="B611" s="107"/>
    </row>
    <row r="612">
      <c r="B612" s="107"/>
    </row>
    <row r="613">
      <c r="B613" s="107"/>
    </row>
    <row r="614">
      <c r="B614" s="107"/>
    </row>
    <row r="615">
      <c r="B615" s="107"/>
    </row>
    <row r="616">
      <c r="B616" s="107"/>
    </row>
    <row r="617">
      <c r="B617" s="107"/>
    </row>
    <row r="618">
      <c r="B618" s="107"/>
    </row>
    <row r="619">
      <c r="B619" s="107"/>
    </row>
    <row r="620">
      <c r="B620" s="107"/>
    </row>
    <row r="621">
      <c r="B621" s="107"/>
    </row>
    <row r="622">
      <c r="B622" s="107"/>
    </row>
    <row r="623">
      <c r="B623" s="107"/>
    </row>
    <row r="624">
      <c r="B624" s="107"/>
    </row>
    <row r="625">
      <c r="B625" s="107"/>
    </row>
    <row r="626">
      <c r="B626" s="107"/>
    </row>
    <row r="627">
      <c r="B627" s="107"/>
    </row>
    <row r="628">
      <c r="B628" s="107"/>
    </row>
    <row r="629">
      <c r="B629" s="107"/>
    </row>
    <row r="630">
      <c r="B630" s="107"/>
    </row>
    <row r="631">
      <c r="B631" s="107"/>
    </row>
    <row r="632">
      <c r="B632" s="107"/>
    </row>
    <row r="633">
      <c r="B633" s="107"/>
    </row>
    <row r="634">
      <c r="B634" s="107"/>
    </row>
    <row r="635">
      <c r="B635" s="107"/>
    </row>
    <row r="636">
      <c r="B636" s="107"/>
    </row>
    <row r="637">
      <c r="B637" s="107"/>
    </row>
    <row r="638">
      <c r="B638" s="107"/>
    </row>
    <row r="639">
      <c r="B639" s="107"/>
    </row>
    <row r="640">
      <c r="B640" s="107"/>
    </row>
    <row r="641">
      <c r="B641" s="107"/>
    </row>
    <row r="642">
      <c r="B642" s="107"/>
    </row>
    <row r="643">
      <c r="B643" s="107"/>
    </row>
    <row r="644">
      <c r="B644" s="107"/>
    </row>
    <row r="645">
      <c r="B645" s="107"/>
    </row>
    <row r="646">
      <c r="B646" s="107"/>
    </row>
    <row r="647">
      <c r="B647" s="107"/>
    </row>
    <row r="648">
      <c r="B648" s="107"/>
    </row>
    <row r="649">
      <c r="B649" s="107"/>
    </row>
    <row r="650">
      <c r="B650" s="107"/>
    </row>
    <row r="651">
      <c r="B651" s="107"/>
    </row>
    <row r="652">
      <c r="B652" s="107"/>
    </row>
    <row r="653">
      <c r="B653" s="107"/>
    </row>
    <row r="654">
      <c r="B654" s="107"/>
    </row>
    <row r="655">
      <c r="B655" s="107"/>
    </row>
    <row r="656">
      <c r="B656" s="107"/>
    </row>
    <row r="657">
      <c r="B657" s="107"/>
    </row>
    <row r="658">
      <c r="B658" s="107"/>
    </row>
    <row r="659">
      <c r="B659" s="107"/>
    </row>
    <row r="660">
      <c r="B660" s="107"/>
    </row>
    <row r="661">
      <c r="B661" s="107"/>
    </row>
    <row r="662">
      <c r="B662" s="107"/>
    </row>
    <row r="663">
      <c r="B663" s="107"/>
    </row>
    <row r="664">
      <c r="B664" s="107"/>
    </row>
    <row r="665">
      <c r="B665" s="107"/>
    </row>
    <row r="666">
      <c r="B666" s="107"/>
    </row>
    <row r="667">
      <c r="B667" s="107"/>
    </row>
    <row r="668">
      <c r="B668" s="107"/>
    </row>
    <row r="669">
      <c r="B669" s="107"/>
    </row>
    <row r="670">
      <c r="B670" s="107"/>
    </row>
    <row r="671">
      <c r="B671" s="107"/>
    </row>
    <row r="672">
      <c r="B672" s="107"/>
    </row>
    <row r="673">
      <c r="B673" s="107"/>
    </row>
    <row r="674">
      <c r="B674" s="107"/>
    </row>
    <row r="675">
      <c r="B675" s="107"/>
    </row>
    <row r="676">
      <c r="B676" s="107"/>
    </row>
    <row r="677">
      <c r="B677" s="107"/>
    </row>
    <row r="678">
      <c r="B678" s="107"/>
    </row>
    <row r="679">
      <c r="B679" s="107"/>
    </row>
    <row r="680">
      <c r="B680" s="107"/>
    </row>
    <row r="681">
      <c r="B681" s="107"/>
    </row>
    <row r="682">
      <c r="B682" s="107"/>
    </row>
    <row r="683">
      <c r="B683" s="107"/>
    </row>
    <row r="684">
      <c r="B684" s="107"/>
    </row>
    <row r="685">
      <c r="B685" s="107"/>
    </row>
    <row r="686">
      <c r="B686" s="107"/>
    </row>
    <row r="687">
      <c r="B687" s="107"/>
    </row>
    <row r="688">
      <c r="B688" s="107"/>
    </row>
    <row r="689">
      <c r="B689" s="107"/>
    </row>
    <row r="690">
      <c r="B690" s="107"/>
    </row>
    <row r="691">
      <c r="B691" s="107"/>
    </row>
    <row r="692">
      <c r="B692" s="107"/>
    </row>
    <row r="693">
      <c r="B693" s="107"/>
    </row>
    <row r="694">
      <c r="B694" s="107"/>
    </row>
    <row r="695">
      <c r="B695" s="107"/>
    </row>
    <row r="696">
      <c r="B696" s="107"/>
    </row>
    <row r="697">
      <c r="B697" s="107"/>
    </row>
    <row r="698">
      <c r="B698" s="107"/>
    </row>
    <row r="699">
      <c r="B699" s="107"/>
    </row>
    <row r="700">
      <c r="B700" s="107"/>
    </row>
    <row r="701">
      <c r="B701" s="107"/>
    </row>
    <row r="702">
      <c r="B702" s="107"/>
    </row>
    <row r="703">
      <c r="B703" s="107"/>
    </row>
    <row r="704">
      <c r="B704" s="107"/>
    </row>
    <row r="705">
      <c r="B705" s="107"/>
    </row>
    <row r="706">
      <c r="B706" s="107"/>
    </row>
    <row r="707">
      <c r="B707" s="107"/>
    </row>
    <row r="708">
      <c r="B708" s="107"/>
    </row>
    <row r="709">
      <c r="B709" s="107"/>
    </row>
    <row r="710">
      <c r="B710" s="107"/>
    </row>
    <row r="711">
      <c r="B711" s="107"/>
    </row>
    <row r="712">
      <c r="B712" s="107"/>
    </row>
    <row r="713">
      <c r="B713" s="107"/>
    </row>
    <row r="714">
      <c r="B714" s="107"/>
    </row>
    <row r="715">
      <c r="B715" s="107"/>
    </row>
    <row r="716">
      <c r="B716" s="107"/>
    </row>
    <row r="717">
      <c r="B717" s="107"/>
    </row>
    <row r="718">
      <c r="B718" s="107"/>
    </row>
    <row r="719">
      <c r="B719" s="107"/>
    </row>
    <row r="720">
      <c r="B720" s="107"/>
    </row>
    <row r="721">
      <c r="B721" s="107"/>
    </row>
    <row r="722">
      <c r="B722" s="107"/>
    </row>
    <row r="723">
      <c r="B723" s="107"/>
    </row>
    <row r="724">
      <c r="B724" s="107"/>
    </row>
    <row r="725">
      <c r="B725" s="107"/>
    </row>
    <row r="726">
      <c r="B726" s="107"/>
    </row>
    <row r="727">
      <c r="B727" s="107"/>
    </row>
    <row r="728">
      <c r="B728" s="107"/>
    </row>
    <row r="729">
      <c r="B729" s="107"/>
    </row>
    <row r="730">
      <c r="B730" s="107"/>
    </row>
    <row r="731">
      <c r="B731" s="107"/>
    </row>
    <row r="732">
      <c r="B732" s="107"/>
    </row>
    <row r="733">
      <c r="B733" s="107"/>
    </row>
    <row r="734">
      <c r="B734" s="107"/>
    </row>
    <row r="735">
      <c r="B735" s="107"/>
    </row>
    <row r="736">
      <c r="B736" s="107"/>
    </row>
    <row r="737">
      <c r="B737" s="107"/>
    </row>
    <row r="738">
      <c r="B738" s="107"/>
    </row>
    <row r="739">
      <c r="B739" s="107"/>
    </row>
    <row r="740">
      <c r="B740" s="107"/>
    </row>
    <row r="741">
      <c r="B741" s="107"/>
    </row>
    <row r="742">
      <c r="B742" s="107"/>
    </row>
    <row r="743">
      <c r="B743" s="107"/>
    </row>
    <row r="744">
      <c r="B744" s="107"/>
    </row>
    <row r="745">
      <c r="B745" s="107"/>
    </row>
    <row r="746">
      <c r="B746" s="107"/>
    </row>
    <row r="747">
      <c r="B747" s="107"/>
    </row>
    <row r="748">
      <c r="B748" s="107"/>
    </row>
    <row r="749">
      <c r="B749" s="107"/>
    </row>
    <row r="750">
      <c r="B750" s="107"/>
    </row>
    <row r="751">
      <c r="B751" s="107"/>
    </row>
    <row r="752">
      <c r="B752" s="107"/>
    </row>
    <row r="753">
      <c r="B753" s="107"/>
    </row>
    <row r="754">
      <c r="B754" s="107"/>
    </row>
    <row r="755">
      <c r="B755" s="107"/>
    </row>
    <row r="756">
      <c r="B756" s="107"/>
    </row>
    <row r="757">
      <c r="B757" s="107"/>
    </row>
    <row r="758">
      <c r="B758" s="107"/>
    </row>
    <row r="759">
      <c r="B759" s="107"/>
    </row>
    <row r="760">
      <c r="B760" s="107"/>
    </row>
    <row r="761">
      <c r="B761" s="107"/>
    </row>
    <row r="762">
      <c r="B762" s="107"/>
    </row>
    <row r="763">
      <c r="B763" s="107"/>
    </row>
    <row r="764">
      <c r="B764" s="107"/>
    </row>
    <row r="765">
      <c r="B765" s="107"/>
    </row>
    <row r="766">
      <c r="B766" s="107"/>
    </row>
    <row r="767">
      <c r="B767" s="107"/>
    </row>
    <row r="768">
      <c r="B768" s="107"/>
    </row>
    <row r="769">
      <c r="B769" s="107"/>
    </row>
    <row r="770">
      <c r="B770" s="107"/>
    </row>
    <row r="771">
      <c r="B771" s="107"/>
    </row>
    <row r="772">
      <c r="B772" s="107"/>
    </row>
    <row r="773">
      <c r="B773" s="107"/>
    </row>
    <row r="774">
      <c r="B774" s="107"/>
    </row>
    <row r="775">
      <c r="B775" s="107"/>
    </row>
    <row r="776">
      <c r="B776" s="107"/>
    </row>
    <row r="777">
      <c r="B777" s="107"/>
    </row>
    <row r="778">
      <c r="B778" s="107"/>
    </row>
    <row r="779">
      <c r="B779" s="107"/>
    </row>
    <row r="780">
      <c r="B780" s="107"/>
    </row>
    <row r="781">
      <c r="B781" s="107"/>
    </row>
    <row r="782">
      <c r="B782" s="107"/>
    </row>
    <row r="783">
      <c r="B783" s="107"/>
    </row>
    <row r="784">
      <c r="B784" s="107"/>
    </row>
    <row r="785">
      <c r="B785" s="107"/>
    </row>
    <row r="786">
      <c r="B786" s="107"/>
    </row>
    <row r="787">
      <c r="B787" s="107"/>
    </row>
    <row r="788">
      <c r="B788" s="107"/>
    </row>
    <row r="789">
      <c r="B789" s="107"/>
    </row>
    <row r="790">
      <c r="B790" s="107"/>
    </row>
    <row r="791">
      <c r="B791" s="107"/>
    </row>
    <row r="792">
      <c r="B792" s="107"/>
    </row>
    <row r="793">
      <c r="B793" s="107"/>
    </row>
    <row r="794">
      <c r="B794" s="107"/>
    </row>
    <row r="795">
      <c r="B795" s="107"/>
    </row>
    <row r="796">
      <c r="B796" s="107"/>
    </row>
    <row r="797">
      <c r="B797" s="107"/>
    </row>
    <row r="798">
      <c r="B798" s="107"/>
    </row>
    <row r="799">
      <c r="B799" s="107"/>
    </row>
    <row r="800">
      <c r="B800" s="107"/>
    </row>
    <row r="801">
      <c r="B801" s="107"/>
    </row>
    <row r="802">
      <c r="B802" s="107"/>
    </row>
    <row r="803">
      <c r="B803" s="107"/>
    </row>
    <row r="804">
      <c r="B804" s="107"/>
    </row>
    <row r="805">
      <c r="B805" s="107"/>
    </row>
    <row r="806">
      <c r="B806" s="107"/>
    </row>
    <row r="807">
      <c r="B807" s="107"/>
    </row>
    <row r="808">
      <c r="B808" s="107"/>
    </row>
    <row r="809">
      <c r="B809" s="107"/>
    </row>
    <row r="810">
      <c r="B810" s="107"/>
    </row>
    <row r="811">
      <c r="B811" s="107"/>
    </row>
    <row r="812">
      <c r="B812" s="107"/>
    </row>
    <row r="813">
      <c r="B813" s="107"/>
    </row>
    <row r="814">
      <c r="B814" s="107"/>
    </row>
    <row r="815">
      <c r="B815" s="107"/>
    </row>
    <row r="816">
      <c r="B816" s="107"/>
    </row>
    <row r="817">
      <c r="B817" s="107"/>
    </row>
    <row r="818">
      <c r="B818" s="107"/>
    </row>
    <row r="819">
      <c r="B819" s="107"/>
    </row>
    <row r="820">
      <c r="B820" s="107"/>
    </row>
    <row r="821">
      <c r="B821" s="107"/>
    </row>
    <row r="822">
      <c r="B822" s="107"/>
    </row>
    <row r="823">
      <c r="B823" s="107"/>
    </row>
    <row r="824">
      <c r="B824" s="107"/>
    </row>
    <row r="825">
      <c r="B825" s="107"/>
    </row>
    <row r="826">
      <c r="B826" s="107"/>
    </row>
    <row r="827">
      <c r="B827" s="107"/>
    </row>
    <row r="828">
      <c r="B828" s="107"/>
    </row>
    <row r="829">
      <c r="B829" s="107"/>
    </row>
    <row r="830">
      <c r="B830" s="107"/>
    </row>
    <row r="831">
      <c r="B831" s="107"/>
    </row>
    <row r="832">
      <c r="B832" s="107"/>
    </row>
    <row r="833">
      <c r="B833" s="107"/>
    </row>
    <row r="834">
      <c r="B834" s="107"/>
    </row>
    <row r="835">
      <c r="B835" s="107"/>
    </row>
    <row r="836">
      <c r="B836" s="107"/>
    </row>
    <row r="837">
      <c r="B837" s="107"/>
    </row>
    <row r="838">
      <c r="B838" s="107"/>
    </row>
    <row r="839">
      <c r="B839" s="107"/>
    </row>
    <row r="840">
      <c r="B840" s="107"/>
    </row>
    <row r="841">
      <c r="B841" s="107"/>
    </row>
    <row r="842">
      <c r="B842" s="107"/>
    </row>
    <row r="843">
      <c r="B843" s="107"/>
    </row>
    <row r="844">
      <c r="B844" s="107"/>
    </row>
    <row r="845">
      <c r="B845" s="107"/>
    </row>
    <row r="846">
      <c r="B846" s="107"/>
    </row>
    <row r="847">
      <c r="B847" s="107"/>
    </row>
    <row r="848">
      <c r="B848" s="107"/>
    </row>
    <row r="849">
      <c r="B849" s="107"/>
    </row>
    <row r="850">
      <c r="B850" s="107"/>
    </row>
    <row r="851">
      <c r="B851" s="107"/>
    </row>
    <row r="852">
      <c r="B852" s="107"/>
    </row>
    <row r="853">
      <c r="B853" s="107"/>
    </row>
    <row r="854">
      <c r="B854" s="107"/>
    </row>
    <row r="855">
      <c r="B855" s="107"/>
    </row>
    <row r="856">
      <c r="B856" s="107"/>
    </row>
    <row r="857">
      <c r="B857" s="107"/>
    </row>
    <row r="858">
      <c r="B858" s="107"/>
    </row>
    <row r="859">
      <c r="B859" s="107"/>
    </row>
    <row r="860">
      <c r="B860" s="107"/>
    </row>
    <row r="861">
      <c r="B861" s="107"/>
    </row>
    <row r="862">
      <c r="B862" s="107"/>
    </row>
    <row r="863">
      <c r="B863" s="107"/>
    </row>
    <row r="864">
      <c r="B864" s="107"/>
    </row>
    <row r="865">
      <c r="B865" s="107"/>
    </row>
    <row r="866">
      <c r="B866" s="107"/>
    </row>
    <row r="867">
      <c r="B867" s="107"/>
    </row>
    <row r="868">
      <c r="B868" s="107"/>
    </row>
    <row r="869">
      <c r="B869" s="107"/>
    </row>
    <row r="870">
      <c r="B870" s="107"/>
    </row>
    <row r="871">
      <c r="B871" s="107"/>
    </row>
    <row r="872">
      <c r="B872" s="107"/>
    </row>
    <row r="873">
      <c r="B873" s="107"/>
    </row>
    <row r="874">
      <c r="B874" s="107"/>
    </row>
    <row r="875">
      <c r="B875" s="107"/>
    </row>
    <row r="876">
      <c r="B876" s="107"/>
    </row>
    <row r="877">
      <c r="B877" s="107"/>
    </row>
    <row r="878">
      <c r="B878" s="107"/>
    </row>
    <row r="879">
      <c r="B879" s="107"/>
    </row>
    <row r="880">
      <c r="B880" s="107"/>
    </row>
    <row r="881">
      <c r="B881" s="107"/>
    </row>
    <row r="882">
      <c r="B882" s="107"/>
    </row>
    <row r="883">
      <c r="B883" s="107"/>
    </row>
    <row r="884">
      <c r="B884" s="107"/>
    </row>
    <row r="885">
      <c r="B885" s="107"/>
    </row>
    <row r="886">
      <c r="B886" s="107"/>
    </row>
    <row r="887">
      <c r="B887" s="107"/>
    </row>
    <row r="888">
      <c r="B888" s="107"/>
    </row>
    <row r="889">
      <c r="B889" s="107"/>
    </row>
    <row r="890">
      <c r="B890" s="107"/>
    </row>
    <row r="891">
      <c r="B891" s="107"/>
    </row>
    <row r="892">
      <c r="B892" s="107"/>
    </row>
    <row r="893">
      <c r="B893" s="107"/>
    </row>
    <row r="894">
      <c r="B894" s="107"/>
    </row>
    <row r="895">
      <c r="B895" s="107"/>
    </row>
    <row r="896">
      <c r="B896" s="107"/>
    </row>
    <row r="897">
      <c r="B897" s="107"/>
    </row>
    <row r="898">
      <c r="B898" s="107"/>
    </row>
    <row r="899">
      <c r="B899" s="107"/>
    </row>
    <row r="900">
      <c r="B900" s="107"/>
    </row>
    <row r="901">
      <c r="B901" s="107"/>
    </row>
    <row r="902">
      <c r="B902" s="107"/>
    </row>
    <row r="903">
      <c r="B903" s="107"/>
    </row>
    <row r="904">
      <c r="B904" s="107"/>
    </row>
    <row r="905">
      <c r="B905" s="107"/>
    </row>
    <row r="906">
      <c r="B906" s="107"/>
    </row>
    <row r="907">
      <c r="B907" s="107"/>
    </row>
    <row r="908">
      <c r="B908" s="107"/>
    </row>
    <row r="909">
      <c r="B909" s="107"/>
    </row>
    <row r="910">
      <c r="B910" s="107"/>
    </row>
    <row r="911">
      <c r="B911" s="107"/>
    </row>
    <row r="912">
      <c r="B912" s="107"/>
    </row>
    <row r="913">
      <c r="B913" s="107"/>
    </row>
    <row r="914">
      <c r="B914" s="107"/>
    </row>
    <row r="915">
      <c r="B915" s="107"/>
    </row>
    <row r="916">
      <c r="B916" s="107"/>
    </row>
    <row r="917">
      <c r="B917" s="107"/>
    </row>
    <row r="918">
      <c r="B918" s="107"/>
    </row>
    <row r="919">
      <c r="B919" s="107"/>
    </row>
    <row r="920">
      <c r="B920" s="107"/>
    </row>
    <row r="921">
      <c r="B921" s="107"/>
    </row>
    <row r="922">
      <c r="B922" s="107"/>
    </row>
    <row r="923">
      <c r="B923" s="107"/>
    </row>
    <row r="924">
      <c r="B924" s="107"/>
    </row>
    <row r="925">
      <c r="B925" s="107"/>
    </row>
    <row r="926">
      <c r="B926" s="107"/>
    </row>
    <row r="927">
      <c r="B927" s="107"/>
    </row>
    <row r="928">
      <c r="B928" s="107"/>
    </row>
    <row r="929">
      <c r="B929" s="107"/>
    </row>
    <row r="930">
      <c r="B930" s="107"/>
    </row>
    <row r="931">
      <c r="B931" s="107"/>
    </row>
    <row r="932">
      <c r="B932" s="107"/>
    </row>
    <row r="933">
      <c r="B933" s="107"/>
    </row>
    <row r="934">
      <c r="B934" s="107"/>
    </row>
    <row r="935">
      <c r="B935" s="107"/>
    </row>
    <row r="936">
      <c r="B936" s="107"/>
    </row>
    <row r="937">
      <c r="B937" s="107"/>
    </row>
    <row r="938">
      <c r="B938" s="107"/>
    </row>
    <row r="939">
      <c r="B939" s="107"/>
    </row>
    <row r="940">
      <c r="B940" s="107"/>
    </row>
    <row r="941">
      <c r="B941" s="107"/>
    </row>
    <row r="942">
      <c r="B942" s="107"/>
    </row>
    <row r="943">
      <c r="B943" s="107"/>
    </row>
    <row r="944">
      <c r="B944" s="107"/>
    </row>
    <row r="945">
      <c r="B945" s="107"/>
    </row>
    <row r="946">
      <c r="B946" s="107"/>
    </row>
    <row r="947">
      <c r="B947" s="107"/>
    </row>
    <row r="948">
      <c r="B948" s="107"/>
    </row>
    <row r="949">
      <c r="B949" s="107"/>
    </row>
    <row r="950">
      <c r="B950" s="107"/>
    </row>
    <row r="951">
      <c r="B951" s="107"/>
    </row>
    <row r="952">
      <c r="B952" s="107"/>
    </row>
    <row r="953">
      <c r="B953" s="107"/>
    </row>
    <row r="954">
      <c r="B954" s="107"/>
    </row>
    <row r="955">
      <c r="B955" s="107"/>
    </row>
    <row r="956">
      <c r="B956" s="107"/>
    </row>
    <row r="957">
      <c r="B957" s="107"/>
    </row>
    <row r="958">
      <c r="B958" s="107"/>
    </row>
    <row r="959">
      <c r="B959" s="107"/>
    </row>
    <row r="960">
      <c r="B960" s="107"/>
    </row>
    <row r="961">
      <c r="B961" s="107"/>
    </row>
    <row r="962">
      <c r="B962" s="107"/>
    </row>
    <row r="963">
      <c r="B963" s="107"/>
    </row>
    <row r="964">
      <c r="B964" s="107"/>
    </row>
    <row r="965">
      <c r="B965" s="107"/>
    </row>
    <row r="966">
      <c r="B966" s="107"/>
    </row>
    <row r="967">
      <c r="B967" s="107"/>
    </row>
    <row r="968">
      <c r="B968" s="107"/>
    </row>
    <row r="969">
      <c r="B969" s="107"/>
    </row>
    <row r="970">
      <c r="B970" s="107"/>
    </row>
    <row r="971">
      <c r="B971" s="107"/>
    </row>
    <row r="972">
      <c r="B972" s="107"/>
    </row>
    <row r="973">
      <c r="B973" s="107"/>
    </row>
    <row r="974">
      <c r="B974" s="107"/>
    </row>
    <row r="975">
      <c r="B975" s="107"/>
    </row>
    <row r="976">
      <c r="B976" s="107"/>
    </row>
    <row r="977">
      <c r="B977" s="107"/>
    </row>
    <row r="978">
      <c r="B978" s="107"/>
    </row>
    <row r="979">
      <c r="B979" s="107"/>
    </row>
    <row r="980">
      <c r="B980" s="107"/>
    </row>
    <row r="981">
      <c r="B981" s="107"/>
    </row>
    <row r="982">
      <c r="B982" s="107"/>
    </row>
    <row r="983">
      <c r="B983" s="107"/>
    </row>
    <row r="984">
      <c r="B984" s="107"/>
    </row>
    <row r="985">
      <c r="B985" s="107"/>
    </row>
    <row r="986">
      <c r="B986" s="107"/>
    </row>
    <row r="987">
      <c r="B987" s="107"/>
    </row>
    <row r="988">
      <c r="B988" s="107"/>
    </row>
    <row r="989">
      <c r="B989" s="107"/>
    </row>
    <row r="990">
      <c r="B990" s="107"/>
    </row>
    <row r="991">
      <c r="B991" s="107"/>
    </row>
    <row r="992">
      <c r="B992" s="107"/>
    </row>
    <row r="993">
      <c r="B993" s="107"/>
    </row>
    <row r="994">
      <c r="B994" s="107"/>
    </row>
    <row r="995">
      <c r="B995" s="107"/>
    </row>
    <row r="996">
      <c r="B996" s="107"/>
    </row>
    <row r="997">
      <c r="B997" s="107"/>
    </row>
    <row r="998">
      <c r="B998" s="107"/>
    </row>
    <row r="999">
      <c r="B999" s="107"/>
    </row>
    <row r="1000">
      <c r="B1000" s="107"/>
    </row>
  </sheetData>
  <mergeCells count="23">
    <mergeCell ref="A1:B1"/>
    <mergeCell ref="E1:F1"/>
    <mergeCell ref="H1:I1"/>
    <mergeCell ref="A2:B2"/>
    <mergeCell ref="E2:F2"/>
    <mergeCell ref="H2:I2"/>
    <mergeCell ref="K2:L2"/>
    <mergeCell ref="K3:L3"/>
    <mergeCell ref="N3:O3"/>
    <mergeCell ref="K4:L4"/>
    <mergeCell ref="N4:O4"/>
    <mergeCell ref="K5:L5"/>
    <mergeCell ref="K6:L6"/>
    <mergeCell ref="K7:L7"/>
    <mergeCell ref="K21:L21"/>
    <mergeCell ref="K22:L22"/>
    <mergeCell ref="K8:L8"/>
    <mergeCell ref="K9:L9"/>
    <mergeCell ref="K10:L10"/>
    <mergeCell ref="E21:F21"/>
    <mergeCell ref="H21:I21"/>
    <mergeCell ref="E22:F22"/>
    <mergeCell ref="H22:I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0.13"/>
    <col customWidth="1" min="3" max="3" width="5.75"/>
    <col customWidth="1" min="4" max="4" width="3.38"/>
    <col customWidth="1" min="5" max="5" width="12.38"/>
    <col customWidth="1" min="6" max="6" width="11.0"/>
    <col customWidth="1" min="7" max="7" width="4.0"/>
    <col customWidth="1" min="8" max="8" width="15.13"/>
    <col customWidth="1" min="9" max="9" width="7.75"/>
    <col customWidth="1" min="10" max="10" width="3.5"/>
    <col customWidth="1" min="11" max="11" width="19.13"/>
    <col customWidth="1" min="13" max="13" width="3.5"/>
    <col customWidth="1" min="14" max="14" width="14.2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70" t="s">
        <v>102</v>
      </c>
      <c r="I1" s="2"/>
      <c r="J1" s="7"/>
      <c r="K1" s="3"/>
      <c r="L1" s="3"/>
      <c r="M1" s="7"/>
      <c r="N1" s="7"/>
      <c r="O1" s="7"/>
    </row>
    <row r="2">
      <c r="A2" s="8" t="s">
        <v>103</v>
      </c>
      <c r="B2" s="9"/>
      <c r="C2" s="10" t="s">
        <v>4</v>
      </c>
      <c r="D2" s="4"/>
      <c r="E2" s="8" t="s">
        <v>103</v>
      </c>
      <c r="F2" s="9"/>
      <c r="G2" s="7"/>
      <c r="H2" s="8" t="s">
        <v>104</v>
      </c>
      <c r="I2" s="108" t="s">
        <v>105</v>
      </c>
      <c r="J2" s="4"/>
      <c r="K2" s="1" t="s">
        <v>5</v>
      </c>
      <c r="L2" s="2"/>
      <c r="M2" s="7"/>
      <c r="N2" s="3"/>
      <c r="O2" s="3"/>
    </row>
    <row r="3">
      <c r="A3" s="13" t="s">
        <v>6</v>
      </c>
      <c r="B3" s="14">
        <v>114.99</v>
      </c>
      <c r="C3" s="15" t="s">
        <v>7</v>
      </c>
      <c r="D3" s="4"/>
      <c r="E3" s="16" t="s">
        <v>31</v>
      </c>
      <c r="F3" s="17">
        <v>4876.92</v>
      </c>
      <c r="G3" s="7"/>
      <c r="H3" s="47" t="s">
        <v>106</v>
      </c>
      <c r="I3" s="17">
        <v>40.9</v>
      </c>
      <c r="J3" s="4"/>
      <c r="K3" s="109" t="s">
        <v>9</v>
      </c>
      <c r="L3" s="2"/>
      <c r="M3" s="4"/>
      <c r="N3" s="1" t="s">
        <v>10</v>
      </c>
      <c r="O3" s="2"/>
    </row>
    <row r="4">
      <c r="A4" s="21" t="s">
        <v>11</v>
      </c>
      <c r="B4" s="22">
        <v>119.41</v>
      </c>
      <c r="C4" s="23" t="s">
        <v>7</v>
      </c>
      <c r="D4" s="4"/>
      <c r="E4" s="24" t="s">
        <v>32</v>
      </c>
      <c r="F4" s="25">
        <v>3059.79</v>
      </c>
      <c r="G4" s="7"/>
      <c r="H4" s="41"/>
      <c r="I4" s="25"/>
      <c r="J4" s="4"/>
      <c r="K4" s="110">
        <f>B19</f>
        <v>7170.16</v>
      </c>
      <c r="L4" s="2"/>
      <c r="M4" s="7"/>
      <c r="N4" s="110">
        <f>K6-K4+K8+K10</f>
        <v>5766.55</v>
      </c>
      <c r="O4" s="2"/>
    </row>
    <row r="5">
      <c r="A5" s="13" t="s">
        <v>13</v>
      </c>
      <c r="B5" s="14">
        <v>520.0</v>
      </c>
      <c r="C5" s="15" t="s">
        <v>7</v>
      </c>
      <c r="D5" s="4"/>
      <c r="E5" s="30" t="s">
        <v>107</v>
      </c>
      <c r="F5" s="31">
        <v>5000.0</v>
      </c>
      <c r="G5" s="7"/>
      <c r="H5" s="43"/>
      <c r="I5" s="31"/>
      <c r="J5" s="4"/>
      <c r="K5" s="109" t="s">
        <v>1</v>
      </c>
      <c r="L5" s="2"/>
      <c r="M5" s="7"/>
      <c r="N5" s="7"/>
      <c r="O5" s="7"/>
    </row>
    <row r="6">
      <c r="A6" s="21" t="s">
        <v>14</v>
      </c>
      <c r="B6" s="22">
        <v>1700.0</v>
      </c>
      <c r="C6" s="34" t="s">
        <v>7</v>
      </c>
      <c r="D6" s="4"/>
      <c r="E6" s="35"/>
      <c r="F6" s="36"/>
      <c r="G6" s="7"/>
      <c r="H6" s="21"/>
      <c r="I6" s="36"/>
      <c r="J6" s="67"/>
      <c r="K6" s="110">
        <f>F18</f>
        <v>12936.71</v>
      </c>
      <c r="L6" s="2"/>
      <c r="M6" s="7"/>
      <c r="N6" s="7"/>
      <c r="O6" s="7"/>
    </row>
    <row r="7">
      <c r="A7" s="43" t="s">
        <v>17</v>
      </c>
      <c r="B7" s="38">
        <v>3000.0</v>
      </c>
      <c r="C7" s="15"/>
      <c r="D7" s="4"/>
      <c r="E7" s="39"/>
      <c r="F7" s="40"/>
      <c r="G7" s="7"/>
      <c r="H7" s="37"/>
      <c r="I7" s="40"/>
      <c r="K7" s="1" t="s">
        <v>16</v>
      </c>
      <c r="L7" s="2"/>
      <c r="M7" s="7"/>
      <c r="N7" s="7"/>
      <c r="O7" s="7"/>
    </row>
    <row r="8">
      <c r="A8" s="41" t="s">
        <v>43</v>
      </c>
      <c r="B8" s="22">
        <v>877.52</v>
      </c>
      <c r="C8" s="34"/>
      <c r="D8" s="4"/>
      <c r="E8" s="35"/>
      <c r="F8" s="36"/>
      <c r="G8" s="7"/>
      <c r="H8" s="21"/>
      <c r="I8" s="36"/>
      <c r="J8" s="7"/>
      <c r="K8" s="111">
        <v>0.0</v>
      </c>
      <c r="L8" s="2"/>
      <c r="M8" s="7"/>
      <c r="N8" s="7"/>
      <c r="O8" s="7"/>
    </row>
    <row r="9">
      <c r="A9" s="43" t="s">
        <v>72</v>
      </c>
      <c r="B9" s="38">
        <v>0.0</v>
      </c>
      <c r="C9" s="15"/>
      <c r="D9" s="4"/>
      <c r="E9" s="39"/>
      <c r="F9" s="44"/>
      <c r="G9" s="7"/>
      <c r="H9" s="37"/>
      <c r="I9" s="44"/>
      <c r="J9" s="7"/>
      <c r="K9" s="1" t="s">
        <v>19</v>
      </c>
      <c r="L9" s="2"/>
      <c r="M9" s="7"/>
      <c r="N9" s="7"/>
      <c r="O9" s="7"/>
    </row>
    <row r="10">
      <c r="A10" s="41" t="s">
        <v>45</v>
      </c>
      <c r="B10" s="22">
        <v>838.24</v>
      </c>
      <c r="C10" s="34" t="s">
        <v>7</v>
      </c>
      <c r="D10" s="4"/>
      <c r="E10" s="35"/>
      <c r="F10" s="45"/>
      <c r="G10" s="7"/>
      <c r="H10" s="21"/>
      <c r="I10" s="45"/>
      <c r="J10" s="7"/>
      <c r="K10" s="112">
        <v>0.0</v>
      </c>
      <c r="L10" s="2"/>
      <c r="M10" s="7"/>
      <c r="N10" s="7"/>
      <c r="O10" s="7"/>
    </row>
    <row r="11">
      <c r="A11" s="43"/>
      <c r="B11" s="14"/>
      <c r="C11" s="49"/>
      <c r="D11" s="4"/>
      <c r="E11" s="4"/>
      <c r="F11" s="48"/>
      <c r="G11" s="7"/>
      <c r="H11" s="13"/>
      <c r="I11" s="48"/>
      <c r="J11" s="7"/>
      <c r="K11" s="7"/>
      <c r="L11" s="7"/>
      <c r="M11" s="7"/>
      <c r="N11" s="7"/>
      <c r="O11" s="7"/>
    </row>
    <row r="12">
      <c r="A12" s="41"/>
      <c r="B12" s="45"/>
      <c r="C12" s="46"/>
      <c r="D12" s="4"/>
      <c r="E12" s="35"/>
      <c r="F12" s="45"/>
      <c r="G12" s="7"/>
      <c r="H12" s="21"/>
      <c r="I12" s="45"/>
      <c r="J12" s="7"/>
      <c r="K12" s="7"/>
      <c r="L12" s="7"/>
      <c r="M12" s="7"/>
      <c r="N12" s="7"/>
      <c r="O12" s="7"/>
    </row>
    <row r="13">
      <c r="A13" s="13"/>
      <c r="B13" s="48"/>
      <c r="C13" s="53"/>
      <c r="D13" s="4"/>
      <c r="E13" s="4"/>
      <c r="F13" s="48"/>
      <c r="G13" s="7"/>
      <c r="H13" s="13"/>
      <c r="I13" s="48"/>
      <c r="J13" s="7"/>
      <c r="K13" s="7"/>
      <c r="L13" s="7"/>
      <c r="M13" s="7"/>
      <c r="N13" s="7"/>
      <c r="O13" s="7"/>
    </row>
    <row r="14">
      <c r="A14" s="21"/>
      <c r="B14" s="45"/>
      <c r="C14" s="46"/>
      <c r="D14" s="4"/>
      <c r="E14" s="35"/>
      <c r="F14" s="45"/>
      <c r="G14" s="7"/>
      <c r="H14" s="21"/>
      <c r="I14" s="45"/>
      <c r="J14" s="7"/>
      <c r="K14" s="7"/>
      <c r="L14" s="7"/>
      <c r="M14" s="7"/>
      <c r="N14" s="7"/>
      <c r="O14" s="7"/>
    </row>
    <row r="15">
      <c r="A15" s="13"/>
      <c r="B15" s="48"/>
      <c r="C15" s="53"/>
      <c r="D15" s="4"/>
      <c r="E15" s="4"/>
      <c r="F15" s="48"/>
      <c r="G15" s="7"/>
      <c r="H15" s="13"/>
      <c r="I15" s="48"/>
      <c r="J15" s="7"/>
      <c r="K15" s="7"/>
      <c r="L15" s="7"/>
      <c r="M15" s="7"/>
      <c r="N15" s="7"/>
      <c r="O15" s="7"/>
    </row>
    <row r="16">
      <c r="A16" s="21"/>
      <c r="B16" s="45"/>
      <c r="C16" s="46"/>
      <c r="D16" s="4"/>
      <c r="E16" s="35"/>
      <c r="F16" s="45"/>
      <c r="G16" s="7"/>
      <c r="H16" s="21"/>
      <c r="I16" s="45"/>
      <c r="J16" s="7"/>
      <c r="K16" s="7"/>
      <c r="L16" s="7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13"/>
      <c r="I17" s="48"/>
      <c r="J17" s="7"/>
      <c r="K17" s="7"/>
      <c r="L17" s="7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12936.71</v>
      </c>
      <c r="G18" s="7"/>
      <c r="H18" s="65" t="s">
        <v>21</v>
      </c>
      <c r="I18" s="62">
        <f>SUM(I3:I17)</f>
        <v>40.9</v>
      </c>
      <c r="J18" s="7"/>
      <c r="K18" s="7"/>
      <c r="L18" s="7"/>
      <c r="M18" s="7"/>
      <c r="N18" s="7"/>
      <c r="O18" s="7"/>
    </row>
    <row r="19">
      <c r="A19" s="63" t="s">
        <v>21</v>
      </c>
      <c r="B19" s="95">
        <f>SUM(B3:B18)</f>
        <v>7170.16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</sheetData>
  <mergeCells count="16">
    <mergeCell ref="A1:B1"/>
    <mergeCell ref="E1:F1"/>
    <mergeCell ref="H1:I1"/>
    <mergeCell ref="A2:B2"/>
    <mergeCell ref="E2:F2"/>
    <mergeCell ref="K2:L2"/>
    <mergeCell ref="N3:O3"/>
    <mergeCell ref="K9:L9"/>
    <mergeCell ref="K10:L10"/>
    <mergeCell ref="K3:L3"/>
    <mergeCell ref="K4:L4"/>
    <mergeCell ref="N4:O4"/>
    <mergeCell ref="K5:L5"/>
    <mergeCell ref="K6:L6"/>
    <mergeCell ref="K7:L7"/>
    <mergeCell ref="K8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7" max="7" width="4.0"/>
    <col customWidth="1" min="8" max="8" width="4.13"/>
    <col customWidth="1" min="9" max="9" width="23.63"/>
    <col customWidth="1" min="10" max="10" width="16.7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29</v>
      </c>
      <c r="J1" s="2"/>
      <c r="K1" s="7"/>
      <c r="L1" s="3"/>
      <c r="M1" s="3"/>
      <c r="N1" s="7"/>
      <c r="O1" s="7"/>
      <c r="P1" s="7"/>
    </row>
    <row r="2">
      <c r="A2" s="8" t="s">
        <v>108</v>
      </c>
      <c r="B2" s="9"/>
      <c r="C2" s="10" t="s">
        <v>4</v>
      </c>
      <c r="D2" s="4"/>
      <c r="E2" s="8" t="s">
        <v>108</v>
      </c>
      <c r="F2" s="9"/>
      <c r="G2" s="7"/>
      <c r="H2" s="4"/>
      <c r="I2" s="8" t="s">
        <v>108</v>
      </c>
      <c r="J2" s="9"/>
      <c r="K2" s="4"/>
      <c r="L2" s="12" t="s">
        <v>5</v>
      </c>
      <c r="M2" s="9"/>
      <c r="N2" s="7"/>
      <c r="O2" s="3"/>
      <c r="P2" s="3"/>
    </row>
    <row r="3">
      <c r="A3" s="13" t="s">
        <v>6</v>
      </c>
      <c r="B3" s="14">
        <v>119.41</v>
      </c>
      <c r="C3" s="15"/>
      <c r="D3" s="4"/>
      <c r="E3" s="16" t="s">
        <v>31</v>
      </c>
      <c r="F3" s="17">
        <v>4500.0</v>
      </c>
      <c r="G3" s="7"/>
      <c r="H3" s="4"/>
      <c r="I3" s="80"/>
      <c r="J3" s="81"/>
      <c r="K3" s="4"/>
      <c r="L3" s="20" t="s">
        <v>9</v>
      </c>
      <c r="M3" s="9"/>
      <c r="N3" s="4"/>
      <c r="O3" s="12" t="s">
        <v>10</v>
      </c>
      <c r="P3" s="9"/>
    </row>
    <row r="4">
      <c r="A4" s="21" t="s">
        <v>11</v>
      </c>
      <c r="B4" s="22">
        <v>109.99</v>
      </c>
      <c r="C4" s="23"/>
      <c r="D4" s="4"/>
      <c r="E4" s="24" t="s">
        <v>32</v>
      </c>
      <c r="F4" s="25">
        <v>3000.0</v>
      </c>
      <c r="G4" s="7"/>
      <c r="H4" s="4"/>
      <c r="I4" s="82"/>
      <c r="J4" s="83"/>
      <c r="K4" s="4"/>
      <c r="L4" s="28">
        <f>B19</f>
        <v>3362.85</v>
      </c>
      <c r="M4" s="9"/>
      <c r="N4" s="7"/>
      <c r="O4" s="85">
        <f>L6-L4+L8+L10</f>
        <v>9903.7</v>
      </c>
    </row>
    <row r="5">
      <c r="A5" s="13" t="s">
        <v>13</v>
      </c>
      <c r="B5" s="14">
        <v>500.0</v>
      </c>
      <c r="C5" s="15"/>
      <c r="D5" s="4"/>
      <c r="E5" s="39"/>
      <c r="F5" s="40"/>
      <c r="G5" s="7"/>
      <c r="H5" s="4"/>
      <c r="I5" s="80"/>
      <c r="J5" s="81"/>
      <c r="K5" s="4"/>
      <c r="L5" s="20" t="s">
        <v>1</v>
      </c>
      <c r="M5" s="9"/>
      <c r="N5" s="7"/>
      <c r="O5" s="7"/>
      <c r="P5" s="7"/>
    </row>
    <row r="6">
      <c r="A6" s="21" t="s">
        <v>14</v>
      </c>
      <c r="B6" s="22">
        <v>1373.0</v>
      </c>
      <c r="C6" s="34"/>
      <c r="D6" s="4"/>
      <c r="E6" s="35"/>
      <c r="F6" s="36"/>
      <c r="G6" s="7"/>
      <c r="H6" s="4"/>
      <c r="I6" s="82"/>
      <c r="J6" s="86"/>
      <c r="K6" s="67"/>
      <c r="L6" s="28">
        <f>F18</f>
        <v>7500</v>
      </c>
      <c r="M6" s="9"/>
      <c r="N6" s="7"/>
      <c r="O6" s="7"/>
      <c r="P6" s="7"/>
    </row>
    <row r="7">
      <c r="A7" s="37" t="s">
        <v>15</v>
      </c>
      <c r="B7" s="38">
        <v>1260.45</v>
      </c>
      <c r="C7" s="53"/>
      <c r="D7" s="4"/>
      <c r="E7" s="39"/>
      <c r="F7" s="40"/>
      <c r="G7" s="7"/>
      <c r="H7" s="4"/>
      <c r="I7" s="80"/>
      <c r="J7" s="81"/>
      <c r="L7" s="12" t="s">
        <v>16</v>
      </c>
      <c r="M7" s="9"/>
      <c r="N7" s="7"/>
      <c r="O7" s="7"/>
      <c r="P7" s="7"/>
    </row>
    <row r="8">
      <c r="A8" s="41" t="s">
        <v>17</v>
      </c>
      <c r="B8" s="25"/>
      <c r="C8" s="34"/>
      <c r="D8" s="4"/>
      <c r="E8" s="35"/>
      <c r="F8" s="36"/>
      <c r="G8" s="7"/>
      <c r="H8" s="4"/>
      <c r="I8" s="82"/>
      <c r="J8" s="86"/>
      <c r="K8" s="7"/>
      <c r="L8" s="42">
        <f>Junho!N4</f>
        <v>5766.55</v>
      </c>
      <c r="N8" s="7"/>
      <c r="O8" s="7"/>
      <c r="P8" s="7"/>
    </row>
    <row r="9">
      <c r="A9" s="43"/>
      <c r="B9" s="31"/>
      <c r="C9" s="15"/>
      <c r="D9" s="4"/>
      <c r="E9" s="39"/>
      <c r="F9" s="44"/>
      <c r="G9" s="7"/>
      <c r="H9" s="4"/>
      <c r="I9" s="80"/>
      <c r="J9" s="81"/>
      <c r="K9" s="7"/>
      <c r="L9" s="12" t="s">
        <v>19</v>
      </c>
      <c r="M9" s="9"/>
      <c r="N9" s="7"/>
      <c r="O9" s="7"/>
      <c r="P9" s="7"/>
    </row>
    <row r="10">
      <c r="A10" s="41"/>
      <c r="B10" s="25"/>
      <c r="C10" s="46"/>
      <c r="D10" s="4"/>
      <c r="E10" s="35"/>
      <c r="F10" s="45"/>
      <c r="G10" s="7"/>
      <c r="H10" s="4"/>
      <c r="I10" s="82"/>
      <c r="J10" s="83"/>
      <c r="K10" s="7"/>
      <c r="L10" s="87">
        <v>0.0</v>
      </c>
      <c r="N10" s="7"/>
      <c r="O10" s="7"/>
      <c r="P10" s="7"/>
    </row>
    <row r="11">
      <c r="A11" s="13"/>
      <c r="B11" s="48"/>
      <c r="C11" s="49"/>
      <c r="D11" s="4"/>
      <c r="E11" s="4"/>
      <c r="F11" s="48"/>
      <c r="G11" s="7"/>
      <c r="H11" s="4"/>
      <c r="I11" s="80"/>
      <c r="J11" s="81"/>
      <c r="K11" s="7"/>
      <c r="L11" s="7"/>
      <c r="M11" s="7"/>
      <c r="N11" s="7"/>
      <c r="O11" s="7"/>
      <c r="P11" s="7"/>
    </row>
    <row r="12">
      <c r="A12" s="21"/>
      <c r="B12" s="45"/>
      <c r="C12" s="46"/>
      <c r="D12" s="4"/>
      <c r="E12" s="35"/>
      <c r="F12" s="45"/>
      <c r="G12" s="7"/>
      <c r="H12" s="4"/>
      <c r="I12" s="89"/>
      <c r="J12" s="90"/>
      <c r="K12" s="7"/>
      <c r="L12" s="7"/>
      <c r="M12" s="7"/>
      <c r="N12" s="7"/>
      <c r="O12" s="7"/>
      <c r="P12" s="7"/>
    </row>
    <row r="13">
      <c r="A13" s="13"/>
      <c r="B13" s="48"/>
      <c r="C13" s="53"/>
      <c r="D13" s="4"/>
      <c r="E13" s="4"/>
      <c r="F13" s="48"/>
      <c r="G13" s="7"/>
      <c r="H13" s="4"/>
      <c r="I13" s="91"/>
      <c r="J13" s="92"/>
      <c r="K13" s="7"/>
      <c r="L13" s="7"/>
      <c r="M13" s="7"/>
      <c r="N13" s="7"/>
      <c r="O13" s="7"/>
      <c r="P13" s="7"/>
    </row>
    <row r="14">
      <c r="A14" s="21"/>
      <c r="B14" s="45"/>
      <c r="C14" s="46"/>
      <c r="D14" s="4"/>
      <c r="E14" s="35"/>
      <c r="F14" s="45"/>
      <c r="G14" s="7"/>
      <c r="H14" s="4"/>
      <c r="I14" s="89"/>
      <c r="J14" s="90"/>
      <c r="K14" s="7"/>
      <c r="L14" s="7"/>
      <c r="M14" s="7"/>
      <c r="N14" s="7"/>
      <c r="O14" s="7"/>
      <c r="P14" s="7"/>
    </row>
    <row r="15">
      <c r="A15" s="13"/>
      <c r="B15" s="48"/>
      <c r="C15" s="53"/>
      <c r="D15" s="4"/>
      <c r="E15" s="4"/>
      <c r="F15" s="48"/>
      <c r="G15" s="7"/>
      <c r="H15" s="4"/>
      <c r="I15" s="91"/>
      <c r="J15" s="92"/>
      <c r="K15" s="7"/>
      <c r="L15" s="7"/>
      <c r="M15" s="7"/>
      <c r="N15" s="7"/>
      <c r="O15" s="7"/>
      <c r="P15" s="7"/>
    </row>
    <row r="16">
      <c r="A16" s="21"/>
      <c r="B16" s="45"/>
      <c r="C16" s="46"/>
      <c r="D16" s="4"/>
      <c r="E16" s="35"/>
      <c r="F16" s="45"/>
      <c r="G16" s="7"/>
      <c r="H16" s="4"/>
      <c r="I16" s="89"/>
      <c r="J16" s="90"/>
      <c r="K16" s="7"/>
      <c r="L16" s="7"/>
      <c r="M16" s="7"/>
      <c r="N16" s="7"/>
      <c r="O16" s="7"/>
      <c r="P16" s="7"/>
    </row>
    <row r="17">
      <c r="A17" s="13"/>
      <c r="B17" s="48"/>
      <c r="C17" s="53"/>
      <c r="D17" s="4"/>
      <c r="E17" s="4"/>
      <c r="F17" s="48"/>
      <c r="G17" s="7"/>
      <c r="H17" s="4"/>
      <c r="I17" s="93"/>
      <c r="J17" s="94"/>
      <c r="K17" s="7"/>
      <c r="L17" s="7"/>
      <c r="M17" s="7"/>
      <c r="N17" s="7"/>
      <c r="O17" s="7"/>
      <c r="P17" s="7"/>
    </row>
    <row r="18">
      <c r="A18" s="21"/>
      <c r="B18" s="45"/>
      <c r="C18" s="56"/>
      <c r="D18" s="4"/>
      <c r="E18" s="61" t="s">
        <v>21</v>
      </c>
      <c r="F18" s="62">
        <f>SUM(F3:F17)</f>
        <v>7500</v>
      </c>
      <c r="G18" s="7"/>
      <c r="H18" s="7"/>
      <c r="I18" s="63" t="s">
        <v>21</v>
      </c>
      <c r="J18" s="95">
        <f>SUM(J3:J17)</f>
        <v>0</v>
      </c>
      <c r="K18" s="7"/>
      <c r="L18" s="7"/>
      <c r="M18" s="7"/>
      <c r="N18" s="7"/>
      <c r="O18" s="7"/>
      <c r="P18" s="7"/>
    </row>
    <row r="19">
      <c r="A19" s="63" t="s">
        <v>21</v>
      </c>
      <c r="B19" s="95">
        <f>SUM(B3:B18)</f>
        <v>3362.85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>
      <c r="E21" s="70" t="s">
        <v>22</v>
      </c>
      <c r="F21" s="2"/>
    </row>
    <row r="22">
      <c r="E22" s="11" t="s">
        <v>23</v>
      </c>
      <c r="F22" s="2"/>
    </row>
    <row r="23">
      <c r="E23" s="18"/>
      <c r="F23" s="72"/>
    </row>
    <row r="24">
      <c r="E24" s="26"/>
      <c r="F24" s="74"/>
    </row>
    <row r="25">
      <c r="E25" s="32"/>
      <c r="F25" s="75"/>
    </row>
    <row r="26">
      <c r="E26" s="26"/>
      <c r="F26" s="74"/>
    </row>
    <row r="27">
      <c r="E27" s="32"/>
      <c r="F27" s="75"/>
    </row>
    <row r="28">
      <c r="E28" s="26"/>
      <c r="F28" s="74"/>
    </row>
    <row r="29">
      <c r="E29" s="32"/>
      <c r="F29" s="76"/>
    </row>
    <row r="30">
      <c r="E30" s="26"/>
      <c r="F30" s="77"/>
    </row>
    <row r="31">
      <c r="E31" s="32"/>
      <c r="F31" s="76"/>
    </row>
    <row r="32">
      <c r="E32" s="26"/>
      <c r="F32" s="26"/>
    </row>
    <row r="33">
      <c r="E33" s="32"/>
      <c r="F33" s="76"/>
    </row>
    <row r="34">
      <c r="E34" s="78" t="s">
        <v>28</v>
      </c>
      <c r="F34" s="79">
        <f>SUM(F23:F27)</f>
        <v>0</v>
      </c>
    </row>
  </sheetData>
  <mergeCells count="19">
    <mergeCell ref="A1:B1"/>
    <mergeCell ref="E1:F1"/>
    <mergeCell ref="I1:J1"/>
    <mergeCell ref="A2:B2"/>
    <mergeCell ref="E2:F2"/>
    <mergeCell ref="I2:J2"/>
    <mergeCell ref="L2:M2"/>
    <mergeCell ref="L8:M8"/>
    <mergeCell ref="L9:M9"/>
    <mergeCell ref="L10:M10"/>
    <mergeCell ref="E21:F21"/>
    <mergeCell ref="E22:F22"/>
    <mergeCell ref="L3:M3"/>
    <mergeCell ref="O3:P3"/>
    <mergeCell ref="L4:M4"/>
    <mergeCell ref="O4:P4"/>
    <mergeCell ref="L5:M5"/>
    <mergeCell ref="L6:M6"/>
    <mergeCell ref="L7:M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.13"/>
    <col customWidth="1" min="5" max="5" width="13.88"/>
    <col customWidth="1" min="7" max="7" width="2.38"/>
    <col customWidth="1" min="8" max="8" width="25.75"/>
    <col customWidth="1" min="9" max="10" width="11.13"/>
    <col customWidth="1" min="12" max="12" width="3.63"/>
    <col customWidth="1" min="15" max="15" width="2.63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96" t="s">
        <v>109</v>
      </c>
      <c r="I1" s="113"/>
      <c r="J1" s="113"/>
      <c r="K1" s="2"/>
      <c r="L1" s="7"/>
      <c r="M1" s="3"/>
      <c r="N1" s="3"/>
      <c r="O1" s="7"/>
      <c r="P1" s="7"/>
      <c r="Q1" s="7"/>
    </row>
    <row r="2">
      <c r="A2" s="8" t="s">
        <v>110</v>
      </c>
      <c r="B2" s="9"/>
      <c r="C2" s="10" t="s">
        <v>4</v>
      </c>
      <c r="D2" s="4"/>
      <c r="E2" s="8" t="s">
        <v>110</v>
      </c>
      <c r="F2" s="9"/>
      <c r="G2" s="7"/>
      <c r="H2" s="8" t="s">
        <v>110</v>
      </c>
      <c r="I2" s="114"/>
      <c r="J2" s="114"/>
      <c r="K2" s="9"/>
      <c r="L2" s="4"/>
      <c r="M2" s="12" t="s">
        <v>5</v>
      </c>
      <c r="N2" s="9"/>
      <c r="O2" s="7"/>
      <c r="P2" s="3"/>
      <c r="Q2" s="3"/>
    </row>
    <row r="3">
      <c r="A3" s="13" t="s">
        <v>6</v>
      </c>
      <c r="B3" s="115">
        <v>119.41</v>
      </c>
      <c r="C3" s="15" t="s">
        <v>7</v>
      </c>
      <c r="D3" s="4"/>
      <c r="E3" s="16" t="s">
        <v>31</v>
      </c>
      <c r="F3" s="115">
        <v>4876.92</v>
      </c>
      <c r="G3" s="7"/>
      <c r="H3" s="8" t="s">
        <v>111</v>
      </c>
      <c r="I3" s="116" t="s">
        <v>105</v>
      </c>
      <c r="J3" s="117" t="s">
        <v>112</v>
      </c>
      <c r="K3" s="108" t="s">
        <v>113</v>
      </c>
      <c r="L3" s="4"/>
      <c r="M3" s="20" t="s">
        <v>9</v>
      </c>
      <c r="N3" s="9"/>
      <c r="O3" s="4"/>
      <c r="P3" s="12" t="s">
        <v>10</v>
      </c>
      <c r="Q3" s="9"/>
    </row>
    <row r="4">
      <c r="A4" s="21" t="s">
        <v>11</v>
      </c>
      <c r="B4" s="118">
        <v>114.99</v>
      </c>
      <c r="C4" s="23" t="s">
        <v>7</v>
      </c>
      <c r="D4" s="4"/>
      <c r="E4" s="24" t="s">
        <v>32</v>
      </c>
      <c r="F4" s="118">
        <v>3059.79</v>
      </c>
      <c r="G4" s="7"/>
      <c r="H4" s="119" t="s">
        <v>114</v>
      </c>
      <c r="I4" s="120">
        <v>142.4</v>
      </c>
      <c r="J4" s="121" t="s">
        <v>115</v>
      </c>
      <c r="K4" s="83" t="s">
        <v>116</v>
      </c>
      <c r="L4" s="4"/>
      <c r="M4" s="28">
        <f>B19</f>
        <v>9772.93</v>
      </c>
      <c r="N4" s="9"/>
      <c r="O4" s="7"/>
      <c r="P4" s="85">
        <f>M6-M4+M8+M10</f>
        <v>10212.66</v>
      </c>
    </row>
    <row r="5">
      <c r="A5" s="13" t="s">
        <v>13</v>
      </c>
      <c r="B5" s="115">
        <v>500.0</v>
      </c>
      <c r="C5" s="15" t="s">
        <v>7</v>
      </c>
      <c r="D5" s="4"/>
      <c r="E5" s="30" t="s">
        <v>117</v>
      </c>
      <c r="F5" s="122">
        <v>12048.88</v>
      </c>
      <c r="G5" s="7"/>
      <c r="H5" s="123" t="s">
        <v>118</v>
      </c>
      <c r="I5" s="124">
        <v>264.52</v>
      </c>
      <c r="J5" s="125" t="s">
        <v>115</v>
      </c>
      <c r="K5" s="81" t="s">
        <v>116</v>
      </c>
      <c r="L5" s="4"/>
      <c r="M5" s="20" t="s">
        <v>1</v>
      </c>
      <c r="N5" s="9"/>
      <c r="O5" s="7"/>
      <c r="P5" s="7"/>
      <c r="Q5" s="7"/>
    </row>
    <row r="6">
      <c r="A6" s="21" t="s">
        <v>15</v>
      </c>
      <c r="B6" s="118">
        <v>1500.0</v>
      </c>
      <c r="C6" s="34" t="s">
        <v>7</v>
      </c>
      <c r="D6" s="4"/>
      <c r="E6" s="35"/>
      <c r="F6" s="126"/>
      <c r="G6" s="7"/>
      <c r="H6" s="119" t="s">
        <v>119</v>
      </c>
      <c r="I6" s="120">
        <v>175.44</v>
      </c>
      <c r="J6" s="121" t="s">
        <v>120</v>
      </c>
      <c r="K6" s="86" t="s">
        <v>116</v>
      </c>
      <c r="L6" s="67"/>
      <c r="M6" s="28">
        <f>F18</f>
        <v>19985.59</v>
      </c>
      <c r="N6" s="9"/>
      <c r="O6" s="7"/>
      <c r="P6" s="7"/>
      <c r="Q6" s="7"/>
    </row>
    <row r="7">
      <c r="A7" s="43" t="s">
        <v>17</v>
      </c>
      <c r="B7" s="122">
        <v>1958.02</v>
      </c>
      <c r="C7" s="15" t="s">
        <v>7</v>
      </c>
      <c r="D7" s="4"/>
      <c r="E7" s="39"/>
      <c r="F7" s="127"/>
      <c r="G7" s="7"/>
      <c r="H7" s="123" t="s">
        <v>119</v>
      </c>
      <c r="I7" s="124">
        <v>137.99</v>
      </c>
      <c r="J7" s="125" t="s">
        <v>120</v>
      </c>
      <c r="K7" s="81" t="s">
        <v>116</v>
      </c>
      <c r="M7" s="12" t="s">
        <v>16</v>
      </c>
      <c r="N7" s="9"/>
      <c r="O7" s="7"/>
      <c r="P7" s="7"/>
      <c r="Q7" s="7"/>
    </row>
    <row r="8">
      <c r="A8" s="41" t="s">
        <v>43</v>
      </c>
      <c r="B8" s="118">
        <v>384.91</v>
      </c>
      <c r="C8" s="34" t="s">
        <v>7</v>
      </c>
      <c r="D8" s="4"/>
      <c r="E8" s="35"/>
      <c r="F8" s="126"/>
      <c r="G8" s="7"/>
      <c r="H8" s="119" t="s">
        <v>121</v>
      </c>
      <c r="I8" s="120">
        <v>61.09</v>
      </c>
      <c r="J8" s="121" t="s">
        <v>122</v>
      </c>
      <c r="K8" s="86" t="s">
        <v>116</v>
      </c>
      <c r="L8" s="7"/>
      <c r="M8" s="42">
        <v>0.0</v>
      </c>
      <c r="O8" s="7"/>
      <c r="P8" s="7"/>
      <c r="Q8" s="7"/>
    </row>
    <row r="9">
      <c r="A9" s="43" t="s">
        <v>123</v>
      </c>
      <c r="B9" s="122">
        <v>806.34</v>
      </c>
      <c r="C9" s="15" t="s">
        <v>7</v>
      </c>
      <c r="D9" s="4"/>
      <c r="E9" s="39"/>
      <c r="F9" s="127"/>
      <c r="G9" s="7"/>
      <c r="H9" s="123" t="s">
        <v>124</v>
      </c>
      <c r="I9" s="124">
        <v>115.0</v>
      </c>
      <c r="J9" s="125" t="s">
        <v>125</v>
      </c>
      <c r="K9" s="81" t="s">
        <v>126</v>
      </c>
      <c r="L9" s="7"/>
      <c r="M9" s="12" t="s">
        <v>19</v>
      </c>
      <c r="N9" s="9"/>
      <c r="O9" s="7"/>
      <c r="P9" s="7"/>
      <c r="Q9" s="7"/>
    </row>
    <row r="10">
      <c r="A10" s="41" t="s">
        <v>127</v>
      </c>
      <c r="B10" s="118">
        <v>54.8</v>
      </c>
      <c r="C10" s="34" t="s">
        <v>7</v>
      </c>
      <c r="D10" s="4"/>
      <c r="E10" s="35"/>
      <c r="F10" s="126"/>
      <c r="G10" s="7"/>
      <c r="H10" s="119" t="s">
        <v>128</v>
      </c>
      <c r="I10" s="120">
        <v>645.33</v>
      </c>
      <c r="J10" s="121" t="s">
        <v>122</v>
      </c>
      <c r="K10" s="83" t="s">
        <v>126</v>
      </c>
      <c r="L10" s="7"/>
      <c r="M10" s="87">
        <v>0.0</v>
      </c>
      <c r="O10" s="7"/>
      <c r="P10" s="7"/>
      <c r="Q10" s="7"/>
    </row>
    <row r="11">
      <c r="A11" s="47" t="s">
        <v>129</v>
      </c>
      <c r="B11" s="115">
        <v>394.82</v>
      </c>
      <c r="C11" s="15" t="s">
        <v>7</v>
      </c>
      <c r="D11" s="4"/>
      <c r="E11" s="4"/>
      <c r="F11" s="128"/>
      <c r="G11" s="7"/>
      <c r="H11" s="123"/>
      <c r="I11" s="124"/>
      <c r="J11" s="125"/>
      <c r="K11" s="81"/>
      <c r="L11" s="7"/>
      <c r="M11" s="7"/>
      <c r="N11" s="7"/>
      <c r="O11" s="7"/>
      <c r="P11" s="7"/>
      <c r="Q11" s="7"/>
    </row>
    <row r="12">
      <c r="A12" s="41" t="s">
        <v>130</v>
      </c>
      <c r="B12" s="118">
        <v>1009.0</v>
      </c>
      <c r="C12" s="34" t="s">
        <v>7</v>
      </c>
      <c r="D12" s="4"/>
      <c r="E12" s="35"/>
      <c r="F12" s="126"/>
      <c r="G12" s="7"/>
      <c r="H12" s="129"/>
      <c r="I12" s="130"/>
      <c r="J12" s="131"/>
      <c r="K12" s="90"/>
      <c r="L12" s="7"/>
      <c r="M12" s="7"/>
      <c r="N12" s="7"/>
      <c r="O12" s="7"/>
      <c r="P12" s="7"/>
      <c r="Q12" s="7"/>
    </row>
    <row r="13">
      <c r="A13" s="47" t="s">
        <v>131</v>
      </c>
      <c r="B13" s="115">
        <v>2831.0</v>
      </c>
      <c r="C13" s="15" t="s">
        <v>132</v>
      </c>
      <c r="D13" s="4"/>
      <c r="E13" s="4"/>
      <c r="F13" s="128"/>
      <c r="G13" s="7"/>
      <c r="H13" s="132"/>
      <c r="I13" s="133"/>
      <c r="J13" s="134"/>
      <c r="K13" s="92"/>
      <c r="L13" s="7"/>
      <c r="M13" s="7"/>
      <c r="N13" s="7"/>
      <c r="O13" s="7"/>
      <c r="P13" s="7"/>
      <c r="Q13" s="7"/>
    </row>
    <row r="14">
      <c r="A14" s="41" t="s">
        <v>133</v>
      </c>
      <c r="B14" s="118">
        <v>99.64</v>
      </c>
      <c r="C14" s="34" t="s">
        <v>7</v>
      </c>
      <c r="D14" s="4"/>
      <c r="E14" s="35"/>
      <c r="F14" s="126"/>
      <c r="G14" s="7"/>
      <c r="H14" s="129"/>
      <c r="I14" s="130"/>
      <c r="J14" s="131"/>
      <c r="K14" s="90"/>
      <c r="L14" s="7"/>
      <c r="M14" s="7"/>
      <c r="N14" s="7"/>
      <c r="O14" s="7"/>
      <c r="P14" s="7"/>
      <c r="Q14" s="7"/>
    </row>
    <row r="15">
      <c r="A15" s="13"/>
      <c r="B15" s="128"/>
      <c r="C15" s="53"/>
      <c r="D15" s="4"/>
      <c r="E15" s="4"/>
      <c r="F15" s="128"/>
      <c r="G15" s="7"/>
      <c r="H15" s="132"/>
      <c r="I15" s="133"/>
      <c r="J15" s="134"/>
      <c r="K15" s="92"/>
      <c r="L15" s="7"/>
      <c r="M15" s="7"/>
      <c r="N15" s="7"/>
      <c r="O15" s="7"/>
      <c r="P15" s="7"/>
      <c r="Q15" s="7"/>
    </row>
    <row r="16">
      <c r="A16" s="21"/>
      <c r="B16" s="126"/>
      <c r="C16" s="46"/>
      <c r="D16" s="4"/>
      <c r="E16" s="35"/>
      <c r="F16" s="126"/>
      <c r="G16" s="7"/>
      <c r="H16" s="129"/>
      <c r="I16" s="130"/>
      <c r="J16" s="131"/>
      <c r="K16" s="90"/>
      <c r="L16" s="7"/>
      <c r="M16" s="7"/>
      <c r="N16" s="7"/>
      <c r="O16" s="7"/>
      <c r="P16" s="7"/>
      <c r="Q16" s="7"/>
    </row>
    <row r="17">
      <c r="A17" s="13"/>
      <c r="B17" s="128"/>
      <c r="C17" s="53"/>
      <c r="D17" s="4"/>
      <c r="E17" s="4"/>
      <c r="F17" s="128"/>
      <c r="G17" s="7"/>
      <c r="H17" s="135"/>
      <c r="I17" s="136"/>
      <c r="J17" s="137"/>
      <c r="K17" s="94"/>
      <c r="L17" s="7"/>
      <c r="M17" s="7"/>
      <c r="N17" s="7"/>
      <c r="O17" s="7"/>
      <c r="P17" s="7"/>
      <c r="Q17" s="7"/>
    </row>
    <row r="18">
      <c r="A18" s="21"/>
      <c r="B18" s="126"/>
      <c r="C18" s="56"/>
      <c r="D18" s="4"/>
      <c r="E18" s="61" t="s">
        <v>21</v>
      </c>
      <c r="F18" s="138">
        <f>SUM(F3:F17)</f>
        <v>19985.59</v>
      </c>
      <c r="G18" s="7"/>
      <c r="H18" s="63" t="s">
        <v>21</v>
      </c>
      <c r="I18" s="139">
        <f>SUM(I3:I17)</f>
        <v>1541.77</v>
      </c>
      <c r="J18" s="2"/>
      <c r="K18" s="7"/>
      <c r="L18" s="7"/>
      <c r="M18" s="7"/>
      <c r="N18" s="7"/>
      <c r="O18" s="7"/>
      <c r="P18" s="7"/>
      <c r="Q18" s="7"/>
    </row>
    <row r="19">
      <c r="A19" s="63" t="s">
        <v>21</v>
      </c>
      <c r="B19" s="64">
        <f>SUM(B3:B18)</f>
        <v>9772.93</v>
      </c>
      <c r="C19" s="7"/>
      <c r="D19" s="7"/>
      <c r="E19" s="7"/>
      <c r="F19" s="67"/>
      <c r="G19" s="7"/>
      <c r="H19" s="7"/>
      <c r="I19" s="140"/>
      <c r="J19" s="141"/>
      <c r="K19" s="7"/>
      <c r="L19" s="7"/>
      <c r="M19" s="7"/>
      <c r="N19" s="7"/>
      <c r="O19" s="7"/>
      <c r="P19" s="7"/>
      <c r="Q19" s="7"/>
    </row>
    <row r="20">
      <c r="A20" s="7"/>
      <c r="B20" s="67"/>
      <c r="C20" s="7"/>
      <c r="D20" s="7"/>
      <c r="E20" s="7"/>
      <c r="F20" s="67"/>
      <c r="G20" s="7"/>
      <c r="H20" s="7"/>
      <c r="I20" s="140"/>
      <c r="J20" s="141"/>
      <c r="K20" s="7"/>
      <c r="L20" s="7"/>
      <c r="M20" s="7"/>
      <c r="N20" s="7"/>
      <c r="O20" s="7"/>
      <c r="P20" s="7"/>
      <c r="Q20" s="7"/>
    </row>
    <row r="21">
      <c r="B21" s="71"/>
      <c r="E21" s="70" t="s">
        <v>22</v>
      </c>
      <c r="F21" s="2"/>
      <c r="H21" s="142"/>
      <c r="I21" s="140"/>
      <c r="J21" s="141"/>
      <c r="K21" s="7"/>
      <c r="L21" s="7"/>
      <c r="M21" s="7"/>
    </row>
    <row r="22">
      <c r="B22" s="71"/>
      <c r="E22" s="11" t="s">
        <v>23</v>
      </c>
      <c r="F22" s="2"/>
      <c r="H22" s="142"/>
      <c r="I22" s="140"/>
      <c r="J22" s="141"/>
      <c r="K22" s="7"/>
      <c r="L22" s="7"/>
      <c r="M22" s="7"/>
    </row>
    <row r="23">
      <c r="B23" s="71"/>
      <c r="E23" s="18" t="s">
        <v>134</v>
      </c>
      <c r="F23" s="143">
        <v>24.9</v>
      </c>
      <c r="H23" s="142"/>
      <c r="I23" s="140"/>
      <c r="J23" s="141"/>
      <c r="K23" s="7"/>
      <c r="L23" s="7"/>
      <c r="M23" s="7"/>
    </row>
    <row r="24">
      <c r="B24" s="71"/>
      <c r="E24" s="26" t="s">
        <v>135</v>
      </c>
      <c r="F24" s="144">
        <v>10.0</v>
      </c>
      <c r="H24" s="142"/>
      <c r="I24" s="140"/>
      <c r="J24" s="141"/>
      <c r="K24" s="7"/>
      <c r="L24" s="7"/>
      <c r="M24" s="7"/>
    </row>
    <row r="25">
      <c r="B25" s="71"/>
      <c r="E25" s="32" t="s">
        <v>136</v>
      </c>
      <c r="F25" s="145">
        <v>13.95</v>
      </c>
      <c r="H25" s="142"/>
      <c r="I25" s="140"/>
      <c r="J25" s="141"/>
      <c r="K25" s="7"/>
      <c r="L25" s="7"/>
      <c r="M25" s="7"/>
    </row>
    <row r="26">
      <c r="B26" s="71"/>
      <c r="E26" s="26" t="s">
        <v>137</v>
      </c>
      <c r="F26" s="144">
        <v>139.9</v>
      </c>
      <c r="H26" s="142"/>
      <c r="I26" s="140"/>
      <c r="J26" s="141"/>
      <c r="K26" s="7"/>
      <c r="L26" s="7"/>
      <c r="M26" s="7"/>
    </row>
    <row r="27">
      <c r="B27" s="71"/>
      <c r="E27" s="32" t="s">
        <v>138</v>
      </c>
      <c r="F27" s="145">
        <v>59.9</v>
      </c>
      <c r="H27" s="142"/>
      <c r="I27" s="140"/>
      <c r="J27" s="141"/>
      <c r="K27" s="7"/>
      <c r="L27" s="7"/>
      <c r="M27" s="7"/>
    </row>
    <row r="28">
      <c r="B28" s="71"/>
      <c r="E28" s="26"/>
      <c r="F28" s="144"/>
      <c r="H28" s="142"/>
      <c r="I28" s="140"/>
      <c r="J28" s="141"/>
      <c r="K28" s="7"/>
      <c r="L28" s="7"/>
      <c r="M28" s="7"/>
    </row>
    <row r="29">
      <c r="B29" s="71"/>
      <c r="E29" s="32"/>
      <c r="F29" s="145"/>
      <c r="H29" s="142"/>
      <c r="I29" s="140"/>
      <c r="J29" s="141"/>
      <c r="K29" s="7"/>
      <c r="L29" s="7"/>
      <c r="M29" s="7"/>
    </row>
    <row r="30">
      <c r="B30" s="71"/>
      <c r="E30" s="26"/>
      <c r="F30" s="144"/>
      <c r="H30" s="142"/>
      <c r="I30" s="140"/>
      <c r="J30" s="141"/>
      <c r="K30" s="7"/>
      <c r="L30" s="7"/>
      <c r="M30" s="7"/>
    </row>
    <row r="31">
      <c r="B31" s="71"/>
      <c r="E31" s="32"/>
      <c r="F31" s="145"/>
      <c r="H31" s="142"/>
      <c r="I31" s="140"/>
      <c r="J31" s="141"/>
      <c r="K31" s="7"/>
      <c r="L31" s="7"/>
      <c r="M31" s="7"/>
    </row>
    <row r="32">
      <c r="B32" s="71"/>
      <c r="E32" s="26"/>
      <c r="F32" s="146"/>
      <c r="H32" s="7"/>
      <c r="I32" s="140"/>
      <c r="J32" s="141"/>
      <c r="K32" s="7"/>
      <c r="L32" s="7"/>
      <c r="M32" s="7"/>
    </row>
    <row r="33">
      <c r="B33" s="71"/>
      <c r="E33" s="32"/>
      <c r="F33" s="145"/>
      <c r="H33" s="7"/>
      <c r="I33" s="140"/>
      <c r="J33" s="141"/>
      <c r="K33" s="7"/>
      <c r="L33" s="7"/>
      <c r="M33" s="7"/>
    </row>
    <row r="34">
      <c r="B34" s="71"/>
      <c r="E34" s="78" t="s">
        <v>28</v>
      </c>
      <c r="F34" s="147">
        <f>SUM(F23:F33)</f>
        <v>248.65</v>
      </c>
      <c r="H34" s="7"/>
      <c r="I34" s="140"/>
      <c r="J34" s="141"/>
      <c r="K34" s="7"/>
      <c r="L34" s="7"/>
      <c r="M34" s="7"/>
    </row>
    <row r="35">
      <c r="B35" s="71"/>
      <c r="F35" s="71"/>
      <c r="H35" s="7"/>
      <c r="I35" s="140"/>
      <c r="J35" s="141"/>
      <c r="K35" s="7"/>
      <c r="L35" s="7"/>
      <c r="M35" s="7"/>
    </row>
    <row r="36">
      <c r="B36" s="71"/>
      <c r="F36" s="71"/>
      <c r="H36" s="7"/>
      <c r="I36" s="140"/>
      <c r="J36" s="141"/>
      <c r="K36" s="7"/>
      <c r="L36" s="7"/>
      <c r="M36" s="7"/>
    </row>
    <row r="37">
      <c r="B37" s="71"/>
      <c r="F37" s="71"/>
      <c r="H37" s="7"/>
      <c r="I37" s="140"/>
      <c r="J37" s="141"/>
      <c r="K37" s="7"/>
      <c r="L37" s="7"/>
      <c r="M37" s="7"/>
    </row>
    <row r="38">
      <c r="B38" s="71"/>
      <c r="F38" s="71"/>
      <c r="H38" s="7"/>
      <c r="I38" s="140"/>
      <c r="J38" s="141"/>
      <c r="K38" s="7"/>
      <c r="L38" s="7"/>
      <c r="M38" s="7"/>
    </row>
    <row r="39">
      <c r="B39" s="71"/>
      <c r="F39" s="71"/>
      <c r="H39" s="7"/>
      <c r="I39" s="140"/>
      <c r="J39" s="141"/>
      <c r="K39" s="7"/>
      <c r="L39" s="7"/>
      <c r="M39" s="7"/>
    </row>
    <row r="40">
      <c r="B40" s="71"/>
      <c r="F40" s="71"/>
      <c r="H40" s="7"/>
      <c r="I40" s="140"/>
      <c r="J40" s="141"/>
      <c r="K40" s="7"/>
      <c r="L40" s="7"/>
      <c r="M40" s="7"/>
    </row>
    <row r="41">
      <c r="B41" s="71"/>
      <c r="F41" s="71"/>
      <c r="H41" s="7"/>
      <c r="I41" s="140"/>
      <c r="J41" s="141"/>
      <c r="K41" s="7"/>
      <c r="L41" s="7"/>
      <c r="M41" s="7"/>
    </row>
    <row r="42">
      <c r="B42" s="71"/>
      <c r="F42" s="71"/>
      <c r="I42" s="148"/>
      <c r="J42" s="149"/>
    </row>
    <row r="43">
      <c r="B43" s="71"/>
      <c r="F43" s="71"/>
      <c r="I43" s="148"/>
      <c r="J43" s="149"/>
    </row>
    <row r="44">
      <c r="B44" s="71"/>
      <c r="F44" s="71"/>
      <c r="I44" s="148"/>
      <c r="J44" s="149"/>
    </row>
    <row r="45">
      <c r="B45" s="71"/>
      <c r="F45" s="71"/>
      <c r="I45" s="148"/>
      <c r="J45" s="149"/>
    </row>
    <row r="46">
      <c r="B46" s="71"/>
      <c r="F46" s="71"/>
      <c r="I46" s="148"/>
      <c r="J46" s="149"/>
    </row>
    <row r="47">
      <c r="B47" s="71"/>
      <c r="F47" s="71"/>
      <c r="I47" s="148"/>
      <c r="J47" s="149"/>
    </row>
    <row r="48">
      <c r="B48" s="71"/>
      <c r="F48" s="71"/>
      <c r="I48" s="148"/>
      <c r="J48" s="149"/>
    </row>
    <row r="49">
      <c r="B49" s="71"/>
      <c r="F49" s="71"/>
      <c r="I49" s="148"/>
      <c r="J49" s="149"/>
    </row>
    <row r="50">
      <c r="B50" s="71"/>
      <c r="F50" s="71"/>
      <c r="I50" s="148"/>
      <c r="J50" s="149"/>
    </row>
    <row r="51">
      <c r="B51" s="71"/>
      <c r="F51" s="71"/>
      <c r="I51" s="148"/>
      <c r="J51" s="149"/>
    </row>
    <row r="52">
      <c r="B52" s="71"/>
      <c r="F52" s="71"/>
      <c r="I52" s="148"/>
      <c r="J52" s="149"/>
    </row>
    <row r="53">
      <c r="B53" s="71"/>
      <c r="F53" s="71"/>
      <c r="I53" s="148"/>
      <c r="J53" s="149"/>
    </row>
    <row r="54">
      <c r="B54" s="71"/>
      <c r="F54" s="71"/>
      <c r="I54" s="148"/>
      <c r="J54" s="149"/>
    </row>
    <row r="55">
      <c r="B55" s="71"/>
      <c r="F55" s="71"/>
      <c r="I55" s="148"/>
      <c r="J55" s="149"/>
    </row>
    <row r="56">
      <c r="B56" s="71"/>
      <c r="F56" s="71"/>
      <c r="I56" s="148"/>
      <c r="J56" s="149"/>
    </row>
    <row r="57">
      <c r="B57" s="71"/>
      <c r="F57" s="71"/>
      <c r="I57" s="148"/>
      <c r="J57" s="149"/>
    </row>
    <row r="58">
      <c r="B58" s="71"/>
      <c r="F58" s="71"/>
      <c r="I58" s="148"/>
      <c r="J58" s="149"/>
    </row>
    <row r="59">
      <c r="B59" s="71"/>
      <c r="F59" s="71"/>
      <c r="I59" s="148"/>
      <c r="J59" s="149"/>
    </row>
    <row r="60">
      <c r="B60" s="71"/>
      <c r="F60" s="71"/>
      <c r="I60" s="148"/>
      <c r="J60" s="149"/>
    </row>
    <row r="61">
      <c r="B61" s="71"/>
      <c r="F61" s="71"/>
      <c r="I61" s="148"/>
      <c r="J61" s="149"/>
    </row>
    <row r="62">
      <c r="B62" s="71"/>
      <c r="F62" s="71"/>
      <c r="I62" s="148"/>
      <c r="J62" s="149"/>
    </row>
    <row r="63">
      <c r="B63" s="71"/>
      <c r="F63" s="71"/>
      <c r="I63" s="148"/>
      <c r="J63" s="149"/>
    </row>
    <row r="64">
      <c r="B64" s="71"/>
      <c r="F64" s="71"/>
      <c r="I64" s="148"/>
      <c r="J64" s="149"/>
    </row>
    <row r="65">
      <c r="B65" s="71"/>
      <c r="F65" s="71"/>
      <c r="I65" s="148"/>
      <c r="J65" s="149"/>
    </row>
    <row r="66">
      <c r="B66" s="71"/>
      <c r="F66" s="71"/>
      <c r="I66" s="148"/>
      <c r="J66" s="149"/>
    </row>
    <row r="67">
      <c r="B67" s="71"/>
      <c r="F67" s="71"/>
      <c r="I67" s="148"/>
      <c r="J67" s="149"/>
    </row>
    <row r="68">
      <c r="B68" s="71"/>
      <c r="F68" s="71"/>
      <c r="I68" s="148"/>
      <c r="J68" s="149"/>
    </row>
    <row r="69">
      <c r="B69" s="71"/>
      <c r="F69" s="71"/>
      <c r="I69" s="148"/>
      <c r="J69" s="149"/>
    </row>
    <row r="70">
      <c r="B70" s="71"/>
      <c r="F70" s="71"/>
      <c r="I70" s="148"/>
      <c r="J70" s="149"/>
    </row>
    <row r="71">
      <c r="B71" s="71"/>
      <c r="F71" s="71"/>
      <c r="I71" s="148"/>
      <c r="J71" s="149"/>
    </row>
    <row r="72">
      <c r="B72" s="71"/>
      <c r="F72" s="71"/>
      <c r="I72" s="148"/>
      <c r="J72" s="149"/>
    </row>
    <row r="73">
      <c r="B73" s="71"/>
      <c r="F73" s="71"/>
      <c r="I73" s="148"/>
      <c r="J73" s="149"/>
    </row>
    <row r="74">
      <c r="B74" s="71"/>
      <c r="F74" s="71"/>
      <c r="I74" s="148"/>
      <c r="J74" s="149"/>
    </row>
    <row r="75">
      <c r="B75" s="71"/>
      <c r="F75" s="71"/>
      <c r="I75" s="148"/>
      <c r="J75" s="149"/>
    </row>
    <row r="76">
      <c r="B76" s="71"/>
      <c r="F76" s="71"/>
      <c r="I76" s="148"/>
      <c r="J76" s="149"/>
    </row>
    <row r="77">
      <c r="B77" s="71"/>
      <c r="F77" s="71"/>
      <c r="I77" s="148"/>
      <c r="J77" s="149"/>
    </row>
    <row r="78">
      <c r="B78" s="71"/>
      <c r="F78" s="71"/>
      <c r="I78" s="148"/>
      <c r="J78" s="149"/>
    </row>
    <row r="79">
      <c r="B79" s="71"/>
      <c r="F79" s="71"/>
      <c r="I79" s="148"/>
      <c r="J79" s="149"/>
    </row>
    <row r="80">
      <c r="B80" s="71"/>
      <c r="F80" s="71"/>
      <c r="I80" s="148"/>
      <c r="J80" s="149"/>
    </row>
    <row r="81">
      <c r="B81" s="71"/>
      <c r="F81" s="71"/>
      <c r="I81" s="148"/>
      <c r="J81" s="149"/>
    </row>
    <row r="82">
      <c r="B82" s="71"/>
      <c r="F82" s="71"/>
      <c r="I82" s="148"/>
      <c r="J82" s="149"/>
    </row>
    <row r="83">
      <c r="B83" s="71"/>
      <c r="F83" s="71"/>
      <c r="I83" s="148"/>
      <c r="J83" s="149"/>
    </row>
    <row r="84">
      <c r="B84" s="71"/>
      <c r="F84" s="71"/>
      <c r="I84" s="148"/>
      <c r="J84" s="149"/>
    </row>
    <row r="85">
      <c r="B85" s="71"/>
      <c r="F85" s="71"/>
      <c r="I85" s="148"/>
      <c r="J85" s="149"/>
    </row>
    <row r="86">
      <c r="B86" s="71"/>
      <c r="F86" s="71"/>
      <c r="I86" s="148"/>
      <c r="J86" s="149"/>
    </row>
    <row r="87">
      <c r="B87" s="71"/>
      <c r="F87" s="71"/>
      <c r="I87" s="148"/>
      <c r="J87" s="149"/>
    </row>
    <row r="88">
      <c r="B88" s="71"/>
      <c r="F88" s="71"/>
      <c r="I88" s="148"/>
      <c r="J88" s="149"/>
    </row>
    <row r="89">
      <c r="B89" s="71"/>
      <c r="F89" s="71"/>
      <c r="I89" s="148"/>
      <c r="J89" s="149"/>
    </row>
    <row r="90">
      <c r="B90" s="71"/>
      <c r="F90" s="71"/>
      <c r="I90" s="148"/>
      <c r="J90" s="149"/>
    </row>
    <row r="91">
      <c r="B91" s="71"/>
      <c r="F91" s="71"/>
      <c r="I91" s="148"/>
      <c r="J91" s="149"/>
    </row>
    <row r="92">
      <c r="B92" s="71"/>
      <c r="F92" s="71"/>
      <c r="I92" s="148"/>
      <c r="J92" s="149"/>
    </row>
    <row r="93">
      <c r="B93" s="71"/>
      <c r="F93" s="71"/>
      <c r="I93" s="148"/>
      <c r="J93" s="149"/>
    </row>
    <row r="94">
      <c r="B94" s="71"/>
      <c r="F94" s="71"/>
      <c r="I94" s="148"/>
      <c r="J94" s="149"/>
    </row>
    <row r="95">
      <c r="B95" s="71"/>
      <c r="F95" s="71"/>
      <c r="I95" s="148"/>
      <c r="J95" s="149"/>
    </row>
    <row r="96">
      <c r="B96" s="71"/>
      <c r="F96" s="71"/>
      <c r="I96" s="148"/>
      <c r="J96" s="149"/>
    </row>
    <row r="97">
      <c r="B97" s="71"/>
      <c r="F97" s="71"/>
      <c r="I97" s="148"/>
      <c r="J97" s="149"/>
    </row>
    <row r="98">
      <c r="B98" s="71"/>
      <c r="F98" s="71"/>
      <c r="I98" s="148"/>
      <c r="J98" s="149"/>
    </row>
    <row r="99">
      <c r="B99" s="71"/>
      <c r="F99" s="71"/>
      <c r="I99" s="148"/>
      <c r="J99" s="149"/>
    </row>
    <row r="100">
      <c r="B100" s="71"/>
      <c r="F100" s="71"/>
      <c r="I100" s="148"/>
      <c r="J100" s="149"/>
    </row>
    <row r="101">
      <c r="B101" s="71"/>
      <c r="F101" s="71"/>
      <c r="I101" s="148"/>
      <c r="J101" s="149"/>
    </row>
    <row r="102">
      <c r="B102" s="71"/>
      <c r="F102" s="71"/>
      <c r="I102" s="148"/>
      <c r="J102" s="149"/>
    </row>
    <row r="103">
      <c r="B103" s="71"/>
      <c r="F103" s="71"/>
      <c r="I103" s="148"/>
      <c r="J103" s="149"/>
    </row>
    <row r="104">
      <c r="B104" s="71"/>
      <c r="F104" s="71"/>
      <c r="I104" s="148"/>
      <c r="J104" s="149"/>
    </row>
    <row r="105">
      <c r="B105" s="71"/>
      <c r="F105" s="71"/>
      <c r="I105" s="148"/>
      <c r="J105" s="149"/>
    </row>
    <row r="106">
      <c r="B106" s="71"/>
      <c r="F106" s="71"/>
      <c r="I106" s="148"/>
      <c r="J106" s="149"/>
    </row>
    <row r="107">
      <c r="B107" s="71"/>
      <c r="F107" s="71"/>
      <c r="I107" s="148"/>
      <c r="J107" s="149"/>
    </row>
    <row r="108">
      <c r="B108" s="71"/>
      <c r="F108" s="71"/>
      <c r="I108" s="148"/>
      <c r="J108" s="149"/>
    </row>
    <row r="109">
      <c r="B109" s="71"/>
      <c r="F109" s="71"/>
      <c r="I109" s="148"/>
      <c r="J109" s="149"/>
    </row>
    <row r="110">
      <c r="B110" s="71"/>
      <c r="F110" s="71"/>
      <c r="I110" s="148"/>
      <c r="J110" s="149"/>
    </row>
    <row r="111">
      <c r="B111" s="71"/>
      <c r="F111" s="71"/>
      <c r="I111" s="148"/>
      <c r="J111" s="149"/>
    </row>
    <row r="112">
      <c r="B112" s="71"/>
      <c r="F112" s="71"/>
      <c r="I112" s="148"/>
      <c r="J112" s="149"/>
    </row>
    <row r="113">
      <c r="B113" s="71"/>
      <c r="F113" s="71"/>
      <c r="I113" s="148"/>
      <c r="J113" s="149"/>
    </row>
    <row r="114">
      <c r="B114" s="71"/>
      <c r="F114" s="71"/>
      <c r="I114" s="148"/>
      <c r="J114" s="149"/>
    </row>
    <row r="115">
      <c r="B115" s="71"/>
      <c r="F115" s="71"/>
      <c r="I115" s="148"/>
      <c r="J115" s="149"/>
    </row>
    <row r="116">
      <c r="B116" s="71"/>
      <c r="F116" s="71"/>
      <c r="I116" s="148"/>
      <c r="J116" s="149"/>
    </row>
    <row r="117">
      <c r="B117" s="71"/>
      <c r="F117" s="71"/>
      <c r="I117" s="148"/>
      <c r="J117" s="149"/>
    </row>
    <row r="118">
      <c r="B118" s="71"/>
      <c r="F118" s="71"/>
      <c r="I118" s="148"/>
      <c r="J118" s="149"/>
    </row>
    <row r="119">
      <c r="B119" s="71"/>
      <c r="F119" s="71"/>
      <c r="I119" s="148"/>
      <c r="J119" s="149"/>
    </row>
    <row r="120">
      <c r="B120" s="71"/>
      <c r="F120" s="71"/>
      <c r="I120" s="148"/>
      <c r="J120" s="149"/>
    </row>
    <row r="121">
      <c r="B121" s="71"/>
      <c r="F121" s="71"/>
      <c r="I121" s="148"/>
      <c r="J121" s="149"/>
    </row>
    <row r="122">
      <c r="B122" s="71"/>
      <c r="F122" s="71"/>
      <c r="I122" s="148"/>
      <c r="J122" s="149"/>
    </row>
    <row r="123">
      <c r="B123" s="71"/>
      <c r="F123" s="71"/>
      <c r="I123" s="148"/>
      <c r="J123" s="149"/>
    </row>
    <row r="124">
      <c r="B124" s="71"/>
      <c r="F124" s="71"/>
      <c r="I124" s="148"/>
      <c r="J124" s="149"/>
    </row>
    <row r="125">
      <c r="B125" s="71"/>
      <c r="F125" s="71"/>
      <c r="I125" s="148"/>
      <c r="J125" s="149"/>
    </row>
    <row r="126">
      <c r="B126" s="71"/>
      <c r="F126" s="71"/>
      <c r="I126" s="148"/>
      <c r="J126" s="149"/>
    </row>
    <row r="127">
      <c r="B127" s="71"/>
      <c r="F127" s="71"/>
      <c r="I127" s="148"/>
      <c r="J127" s="149"/>
    </row>
    <row r="128">
      <c r="B128" s="71"/>
      <c r="F128" s="71"/>
      <c r="I128" s="148"/>
      <c r="J128" s="149"/>
    </row>
    <row r="129">
      <c r="B129" s="71"/>
      <c r="F129" s="71"/>
      <c r="I129" s="148"/>
      <c r="J129" s="149"/>
    </row>
    <row r="130">
      <c r="B130" s="71"/>
      <c r="F130" s="71"/>
      <c r="I130" s="148"/>
      <c r="J130" s="149"/>
    </row>
    <row r="131">
      <c r="B131" s="71"/>
      <c r="F131" s="71"/>
      <c r="I131" s="148"/>
      <c r="J131" s="149"/>
    </row>
    <row r="132">
      <c r="B132" s="71"/>
      <c r="F132" s="71"/>
      <c r="I132" s="148"/>
      <c r="J132" s="149"/>
    </row>
    <row r="133">
      <c r="B133" s="71"/>
      <c r="F133" s="71"/>
      <c r="I133" s="148"/>
      <c r="J133" s="149"/>
    </row>
    <row r="134">
      <c r="B134" s="71"/>
      <c r="F134" s="71"/>
      <c r="I134" s="148"/>
      <c r="J134" s="149"/>
    </row>
    <row r="135">
      <c r="B135" s="71"/>
      <c r="F135" s="71"/>
      <c r="I135" s="148"/>
      <c r="J135" s="149"/>
    </row>
    <row r="136">
      <c r="B136" s="71"/>
      <c r="F136" s="71"/>
      <c r="I136" s="148"/>
      <c r="J136" s="149"/>
    </row>
    <row r="137">
      <c r="B137" s="71"/>
      <c r="F137" s="71"/>
      <c r="I137" s="148"/>
      <c r="J137" s="149"/>
    </row>
    <row r="138">
      <c r="B138" s="71"/>
      <c r="F138" s="71"/>
      <c r="I138" s="148"/>
      <c r="J138" s="149"/>
    </row>
    <row r="139">
      <c r="B139" s="71"/>
      <c r="F139" s="71"/>
      <c r="I139" s="148"/>
      <c r="J139" s="149"/>
    </row>
    <row r="140">
      <c r="B140" s="71"/>
      <c r="F140" s="71"/>
      <c r="I140" s="148"/>
      <c r="J140" s="149"/>
    </row>
    <row r="141">
      <c r="B141" s="71"/>
      <c r="F141" s="71"/>
      <c r="I141" s="148"/>
      <c r="J141" s="149"/>
    </row>
    <row r="142">
      <c r="B142" s="71"/>
      <c r="F142" s="71"/>
      <c r="I142" s="148"/>
      <c r="J142" s="149"/>
    </row>
    <row r="143">
      <c r="B143" s="71"/>
      <c r="F143" s="71"/>
      <c r="I143" s="148"/>
      <c r="J143" s="149"/>
    </row>
    <row r="144">
      <c r="B144" s="71"/>
      <c r="F144" s="71"/>
      <c r="I144" s="148"/>
      <c r="J144" s="149"/>
    </row>
    <row r="145">
      <c r="B145" s="71"/>
      <c r="F145" s="71"/>
      <c r="I145" s="148"/>
      <c r="J145" s="149"/>
    </row>
    <row r="146">
      <c r="B146" s="71"/>
      <c r="F146" s="71"/>
      <c r="I146" s="148"/>
      <c r="J146" s="149"/>
    </row>
    <row r="147">
      <c r="B147" s="71"/>
      <c r="F147" s="71"/>
      <c r="I147" s="148"/>
      <c r="J147" s="149"/>
    </row>
    <row r="148">
      <c r="B148" s="71"/>
      <c r="F148" s="71"/>
      <c r="I148" s="148"/>
      <c r="J148" s="149"/>
    </row>
    <row r="149">
      <c r="B149" s="71"/>
      <c r="F149" s="71"/>
      <c r="I149" s="148"/>
      <c r="J149" s="149"/>
    </row>
    <row r="150">
      <c r="B150" s="71"/>
      <c r="F150" s="71"/>
      <c r="I150" s="148"/>
      <c r="J150" s="149"/>
    </row>
    <row r="151">
      <c r="B151" s="71"/>
      <c r="F151" s="71"/>
      <c r="I151" s="148"/>
      <c r="J151" s="149"/>
    </row>
    <row r="152">
      <c r="B152" s="71"/>
      <c r="F152" s="71"/>
      <c r="I152" s="148"/>
      <c r="J152" s="149"/>
    </row>
    <row r="153">
      <c r="B153" s="71"/>
      <c r="F153" s="71"/>
      <c r="I153" s="148"/>
      <c r="J153" s="149"/>
    </row>
    <row r="154">
      <c r="B154" s="71"/>
      <c r="F154" s="71"/>
      <c r="I154" s="148"/>
      <c r="J154" s="149"/>
    </row>
    <row r="155">
      <c r="B155" s="71"/>
      <c r="F155" s="71"/>
      <c r="I155" s="148"/>
      <c r="J155" s="149"/>
    </row>
    <row r="156">
      <c r="B156" s="71"/>
      <c r="F156" s="71"/>
      <c r="I156" s="148"/>
      <c r="J156" s="149"/>
    </row>
    <row r="157">
      <c r="B157" s="71"/>
      <c r="F157" s="71"/>
      <c r="I157" s="148"/>
      <c r="J157" s="149"/>
    </row>
    <row r="158">
      <c r="B158" s="71"/>
      <c r="F158" s="71"/>
      <c r="I158" s="148"/>
      <c r="J158" s="149"/>
    </row>
    <row r="159">
      <c r="B159" s="71"/>
      <c r="F159" s="71"/>
      <c r="I159" s="148"/>
      <c r="J159" s="149"/>
    </row>
    <row r="160">
      <c r="B160" s="71"/>
      <c r="F160" s="71"/>
      <c r="I160" s="148"/>
      <c r="J160" s="149"/>
    </row>
    <row r="161">
      <c r="B161" s="71"/>
      <c r="F161" s="71"/>
      <c r="I161" s="148"/>
      <c r="J161" s="149"/>
    </row>
    <row r="162">
      <c r="B162" s="71"/>
      <c r="F162" s="71"/>
      <c r="I162" s="148"/>
      <c r="J162" s="149"/>
    </row>
    <row r="163">
      <c r="B163" s="71"/>
      <c r="F163" s="71"/>
      <c r="I163" s="148"/>
      <c r="J163" s="149"/>
    </row>
    <row r="164">
      <c r="B164" s="71"/>
      <c r="F164" s="71"/>
      <c r="I164" s="148"/>
      <c r="J164" s="149"/>
    </row>
    <row r="165">
      <c r="B165" s="71"/>
      <c r="F165" s="71"/>
      <c r="I165" s="148"/>
      <c r="J165" s="149"/>
    </row>
    <row r="166">
      <c r="B166" s="71"/>
      <c r="F166" s="71"/>
      <c r="I166" s="148"/>
      <c r="J166" s="149"/>
    </row>
    <row r="167">
      <c r="B167" s="71"/>
      <c r="F167" s="71"/>
      <c r="I167" s="148"/>
      <c r="J167" s="149"/>
    </row>
    <row r="168">
      <c r="B168" s="71"/>
      <c r="F168" s="71"/>
      <c r="I168" s="148"/>
      <c r="J168" s="149"/>
    </row>
    <row r="169">
      <c r="B169" s="71"/>
      <c r="F169" s="71"/>
      <c r="I169" s="148"/>
      <c r="J169" s="149"/>
    </row>
    <row r="170">
      <c r="B170" s="71"/>
      <c r="F170" s="71"/>
      <c r="I170" s="148"/>
      <c r="J170" s="149"/>
    </row>
    <row r="171">
      <c r="B171" s="71"/>
      <c r="F171" s="71"/>
      <c r="I171" s="148"/>
      <c r="J171" s="149"/>
    </row>
    <row r="172">
      <c r="B172" s="71"/>
      <c r="F172" s="71"/>
      <c r="I172" s="148"/>
      <c r="J172" s="149"/>
    </row>
    <row r="173">
      <c r="B173" s="71"/>
      <c r="F173" s="71"/>
      <c r="I173" s="148"/>
      <c r="J173" s="149"/>
    </row>
    <row r="174">
      <c r="B174" s="71"/>
      <c r="F174" s="71"/>
      <c r="I174" s="148"/>
      <c r="J174" s="149"/>
    </row>
    <row r="175">
      <c r="B175" s="71"/>
      <c r="F175" s="71"/>
      <c r="I175" s="148"/>
      <c r="J175" s="149"/>
    </row>
    <row r="176">
      <c r="B176" s="71"/>
      <c r="F176" s="71"/>
      <c r="I176" s="148"/>
      <c r="J176" s="149"/>
    </row>
    <row r="177">
      <c r="B177" s="71"/>
      <c r="F177" s="71"/>
      <c r="I177" s="148"/>
      <c r="J177" s="149"/>
    </row>
    <row r="178">
      <c r="B178" s="71"/>
      <c r="F178" s="71"/>
      <c r="I178" s="148"/>
      <c r="J178" s="149"/>
    </row>
    <row r="179">
      <c r="B179" s="71"/>
      <c r="F179" s="71"/>
      <c r="I179" s="148"/>
      <c r="J179" s="149"/>
    </row>
    <row r="180">
      <c r="B180" s="71"/>
      <c r="F180" s="71"/>
      <c r="I180" s="148"/>
      <c r="J180" s="149"/>
    </row>
    <row r="181">
      <c r="B181" s="71"/>
      <c r="F181" s="71"/>
      <c r="I181" s="148"/>
      <c r="J181" s="149"/>
    </row>
    <row r="182">
      <c r="B182" s="71"/>
      <c r="F182" s="71"/>
      <c r="I182" s="148"/>
      <c r="J182" s="149"/>
    </row>
    <row r="183">
      <c r="B183" s="71"/>
      <c r="F183" s="71"/>
      <c r="I183" s="148"/>
      <c r="J183" s="149"/>
    </row>
    <row r="184">
      <c r="B184" s="71"/>
      <c r="F184" s="71"/>
      <c r="I184" s="148"/>
      <c r="J184" s="149"/>
    </row>
    <row r="185">
      <c r="B185" s="71"/>
      <c r="F185" s="71"/>
      <c r="I185" s="148"/>
      <c r="J185" s="149"/>
    </row>
    <row r="186">
      <c r="B186" s="71"/>
      <c r="F186" s="71"/>
      <c r="I186" s="148"/>
      <c r="J186" s="149"/>
    </row>
    <row r="187">
      <c r="B187" s="71"/>
      <c r="F187" s="71"/>
      <c r="I187" s="148"/>
      <c r="J187" s="149"/>
    </row>
    <row r="188">
      <c r="B188" s="71"/>
      <c r="F188" s="71"/>
      <c r="I188" s="148"/>
      <c r="J188" s="149"/>
    </row>
    <row r="189">
      <c r="B189" s="71"/>
      <c r="F189" s="71"/>
      <c r="I189" s="148"/>
      <c r="J189" s="149"/>
    </row>
    <row r="190">
      <c r="B190" s="71"/>
      <c r="F190" s="71"/>
      <c r="I190" s="148"/>
      <c r="J190" s="149"/>
    </row>
    <row r="191">
      <c r="B191" s="71"/>
      <c r="F191" s="71"/>
      <c r="I191" s="148"/>
      <c r="J191" s="149"/>
    </row>
    <row r="192">
      <c r="B192" s="71"/>
      <c r="F192" s="71"/>
      <c r="I192" s="148"/>
      <c r="J192" s="149"/>
    </row>
    <row r="193">
      <c r="B193" s="71"/>
      <c r="F193" s="71"/>
      <c r="I193" s="148"/>
      <c r="J193" s="149"/>
    </row>
    <row r="194">
      <c r="B194" s="71"/>
      <c r="F194" s="71"/>
      <c r="I194" s="148"/>
      <c r="J194" s="149"/>
    </row>
    <row r="195">
      <c r="B195" s="71"/>
      <c r="F195" s="71"/>
      <c r="I195" s="148"/>
      <c r="J195" s="149"/>
    </row>
    <row r="196">
      <c r="B196" s="71"/>
      <c r="F196" s="71"/>
      <c r="I196" s="148"/>
      <c r="J196" s="149"/>
    </row>
    <row r="197">
      <c r="B197" s="71"/>
      <c r="F197" s="71"/>
      <c r="I197" s="148"/>
      <c r="J197" s="149"/>
    </row>
    <row r="198">
      <c r="B198" s="71"/>
      <c r="F198" s="71"/>
      <c r="I198" s="148"/>
      <c r="J198" s="149"/>
    </row>
    <row r="199">
      <c r="B199" s="71"/>
      <c r="F199" s="71"/>
      <c r="I199" s="148"/>
      <c r="J199" s="149"/>
    </row>
    <row r="200">
      <c r="B200" s="71"/>
      <c r="F200" s="71"/>
      <c r="I200" s="148"/>
      <c r="J200" s="149"/>
    </row>
    <row r="201">
      <c r="B201" s="71"/>
      <c r="F201" s="71"/>
      <c r="I201" s="148"/>
      <c r="J201" s="149"/>
    </row>
    <row r="202">
      <c r="B202" s="71"/>
      <c r="F202" s="71"/>
      <c r="I202" s="148"/>
      <c r="J202" s="149"/>
    </row>
    <row r="203">
      <c r="B203" s="71"/>
      <c r="F203" s="71"/>
      <c r="I203" s="148"/>
      <c r="J203" s="149"/>
    </row>
    <row r="204">
      <c r="B204" s="71"/>
      <c r="F204" s="71"/>
      <c r="I204" s="148"/>
      <c r="J204" s="149"/>
    </row>
    <row r="205">
      <c r="B205" s="71"/>
      <c r="F205" s="71"/>
      <c r="I205" s="148"/>
      <c r="J205" s="149"/>
    </row>
    <row r="206">
      <c r="B206" s="71"/>
      <c r="F206" s="71"/>
      <c r="I206" s="148"/>
      <c r="J206" s="149"/>
    </row>
    <row r="207">
      <c r="B207" s="71"/>
      <c r="F207" s="71"/>
      <c r="I207" s="148"/>
      <c r="J207" s="149"/>
    </row>
    <row r="208">
      <c r="B208" s="71"/>
      <c r="F208" s="71"/>
      <c r="I208" s="148"/>
      <c r="J208" s="149"/>
    </row>
    <row r="209">
      <c r="B209" s="71"/>
      <c r="F209" s="71"/>
      <c r="I209" s="148"/>
      <c r="J209" s="149"/>
    </row>
    <row r="210">
      <c r="B210" s="71"/>
      <c r="F210" s="71"/>
      <c r="I210" s="148"/>
      <c r="J210" s="149"/>
    </row>
    <row r="211">
      <c r="B211" s="71"/>
      <c r="F211" s="71"/>
      <c r="I211" s="148"/>
      <c r="J211" s="149"/>
    </row>
    <row r="212">
      <c r="B212" s="71"/>
      <c r="F212" s="71"/>
      <c r="I212" s="148"/>
      <c r="J212" s="149"/>
    </row>
    <row r="213">
      <c r="B213" s="71"/>
      <c r="F213" s="71"/>
      <c r="I213" s="148"/>
      <c r="J213" s="149"/>
    </row>
    <row r="214">
      <c r="B214" s="71"/>
      <c r="F214" s="71"/>
      <c r="I214" s="148"/>
      <c r="J214" s="149"/>
    </row>
    <row r="215">
      <c r="B215" s="71"/>
      <c r="F215" s="71"/>
      <c r="I215" s="148"/>
      <c r="J215" s="149"/>
    </row>
    <row r="216">
      <c r="B216" s="71"/>
      <c r="F216" s="71"/>
      <c r="I216" s="148"/>
      <c r="J216" s="149"/>
    </row>
    <row r="217">
      <c r="B217" s="71"/>
      <c r="F217" s="71"/>
      <c r="I217" s="148"/>
      <c r="J217" s="149"/>
    </row>
    <row r="218">
      <c r="B218" s="71"/>
      <c r="F218" s="71"/>
      <c r="I218" s="148"/>
      <c r="J218" s="149"/>
    </row>
    <row r="219">
      <c r="B219" s="71"/>
      <c r="F219" s="71"/>
      <c r="I219" s="148"/>
      <c r="J219" s="149"/>
    </row>
    <row r="220">
      <c r="B220" s="71"/>
      <c r="F220" s="71"/>
      <c r="I220" s="148"/>
      <c r="J220" s="149"/>
    </row>
    <row r="221">
      <c r="B221" s="71"/>
      <c r="F221" s="71"/>
      <c r="I221" s="148"/>
      <c r="J221" s="149"/>
    </row>
    <row r="222">
      <c r="B222" s="71"/>
      <c r="F222" s="71"/>
      <c r="I222" s="148"/>
      <c r="J222" s="149"/>
    </row>
    <row r="223">
      <c r="B223" s="71"/>
      <c r="F223" s="71"/>
      <c r="I223" s="148"/>
      <c r="J223" s="149"/>
    </row>
    <row r="224">
      <c r="B224" s="71"/>
      <c r="F224" s="71"/>
      <c r="I224" s="148"/>
      <c r="J224" s="149"/>
    </row>
    <row r="225">
      <c r="B225" s="71"/>
      <c r="F225" s="71"/>
      <c r="I225" s="148"/>
      <c r="J225" s="149"/>
    </row>
    <row r="226">
      <c r="B226" s="71"/>
      <c r="F226" s="71"/>
      <c r="I226" s="148"/>
      <c r="J226" s="149"/>
    </row>
    <row r="227">
      <c r="B227" s="71"/>
      <c r="F227" s="71"/>
      <c r="I227" s="148"/>
      <c r="J227" s="149"/>
    </row>
    <row r="228">
      <c r="B228" s="71"/>
      <c r="F228" s="71"/>
      <c r="I228" s="148"/>
      <c r="J228" s="149"/>
    </row>
    <row r="229">
      <c r="B229" s="71"/>
      <c r="F229" s="71"/>
      <c r="I229" s="148"/>
      <c r="J229" s="149"/>
    </row>
    <row r="230">
      <c r="B230" s="71"/>
      <c r="F230" s="71"/>
      <c r="I230" s="148"/>
      <c r="J230" s="149"/>
    </row>
    <row r="231">
      <c r="B231" s="71"/>
      <c r="F231" s="71"/>
      <c r="I231" s="148"/>
      <c r="J231" s="149"/>
    </row>
    <row r="232">
      <c r="B232" s="71"/>
      <c r="F232" s="71"/>
      <c r="I232" s="148"/>
      <c r="J232" s="149"/>
    </row>
    <row r="233">
      <c r="B233" s="71"/>
      <c r="F233" s="71"/>
      <c r="I233" s="148"/>
      <c r="J233" s="149"/>
    </row>
    <row r="234">
      <c r="B234" s="71"/>
      <c r="F234" s="71"/>
      <c r="I234" s="148"/>
      <c r="J234" s="149"/>
    </row>
    <row r="235">
      <c r="B235" s="71"/>
      <c r="F235" s="71"/>
      <c r="I235" s="148"/>
      <c r="J235" s="149"/>
    </row>
    <row r="236">
      <c r="B236" s="71"/>
      <c r="F236" s="71"/>
      <c r="I236" s="148"/>
      <c r="J236" s="149"/>
    </row>
    <row r="237">
      <c r="B237" s="71"/>
      <c r="F237" s="71"/>
      <c r="I237" s="148"/>
      <c r="J237" s="149"/>
    </row>
    <row r="238">
      <c r="B238" s="71"/>
      <c r="F238" s="71"/>
      <c r="I238" s="148"/>
      <c r="J238" s="149"/>
    </row>
    <row r="239">
      <c r="B239" s="71"/>
      <c r="F239" s="71"/>
      <c r="I239" s="148"/>
      <c r="J239" s="149"/>
    </row>
    <row r="240">
      <c r="B240" s="71"/>
      <c r="F240" s="71"/>
      <c r="I240" s="148"/>
      <c r="J240" s="149"/>
    </row>
    <row r="241">
      <c r="B241" s="71"/>
      <c r="F241" s="71"/>
      <c r="I241" s="148"/>
      <c r="J241" s="149"/>
    </row>
    <row r="242">
      <c r="B242" s="71"/>
      <c r="F242" s="71"/>
      <c r="I242" s="148"/>
      <c r="J242" s="149"/>
    </row>
    <row r="243">
      <c r="B243" s="71"/>
      <c r="F243" s="71"/>
      <c r="I243" s="148"/>
      <c r="J243" s="149"/>
    </row>
    <row r="244">
      <c r="B244" s="71"/>
      <c r="F244" s="71"/>
      <c r="I244" s="148"/>
      <c r="J244" s="149"/>
    </row>
    <row r="245">
      <c r="B245" s="71"/>
      <c r="F245" s="71"/>
      <c r="I245" s="148"/>
      <c r="J245" s="149"/>
    </row>
    <row r="246">
      <c r="B246" s="71"/>
      <c r="F246" s="71"/>
      <c r="I246" s="148"/>
      <c r="J246" s="149"/>
    </row>
    <row r="247">
      <c r="B247" s="71"/>
      <c r="F247" s="71"/>
      <c r="I247" s="148"/>
      <c r="J247" s="149"/>
    </row>
    <row r="248">
      <c r="B248" s="71"/>
      <c r="F248" s="71"/>
      <c r="I248" s="148"/>
      <c r="J248" s="149"/>
    </row>
    <row r="249">
      <c r="B249" s="71"/>
      <c r="F249" s="71"/>
      <c r="I249" s="148"/>
      <c r="J249" s="149"/>
    </row>
    <row r="250">
      <c r="B250" s="71"/>
      <c r="F250" s="71"/>
      <c r="I250" s="148"/>
      <c r="J250" s="149"/>
    </row>
    <row r="251">
      <c r="B251" s="71"/>
      <c r="F251" s="71"/>
      <c r="I251" s="148"/>
      <c r="J251" s="149"/>
    </row>
    <row r="252">
      <c r="B252" s="71"/>
      <c r="F252" s="71"/>
      <c r="I252" s="148"/>
      <c r="J252" s="149"/>
    </row>
    <row r="253">
      <c r="B253" s="71"/>
      <c r="F253" s="71"/>
      <c r="I253" s="148"/>
      <c r="J253" s="149"/>
    </row>
    <row r="254">
      <c r="B254" s="71"/>
      <c r="F254" s="71"/>
      <c r="I254" s="148"/>
      <c r="J254" s="149"/>
    </row>
    <row r="255">
      <c r="B255" s="71"/>
      <c r="F255" s="71"/>
      <c r="I255" s="148"/>
      <c r="J255" s="149"/>
    </row>
    <row r="256">
      <c r="B256" s="71"/>
      <c r="F256" s="71"/>
      <c r="I256" s="148"/>
      <c r="J256" s="149"/>
    </row>
    <row r="257">
      <c r="B257" s="71"/>
      <c r="F257" s="71"/>
      <c r="I257" s="148"/>
      <c r="J257" s="149"/>
    </row>
    <row r="258">
      <c r="B258" s="71"/>
      <c r="F258" s="71"/>
      <c r="I258" s="148"/>
      <c r="J258" s="149"/>
    </row>
    <row r="259">
      <c r="B259" s="71"/>
      <c r="F259" s="71"/>
      <c r="I259" s="148"/>
      <c r="J259" s="149"/>
    </row>
    <row r="260">
      <c r="B260" s="71"/>
      <c r="F260" s="71"/>
      <c r="I260" s="148"/>
      <c r="J260" s="149"/>
    </row>
    <row r="261">
      <c r="B261" s="71"/>
      <c r="F261" s="71"/>
      <c r="I261" s="148"/>
      <c r="J261" s="149"/>
    </row>
    <row r="262">
      <c r="B262" s="71"/>
      <c r="F262" s="71"/>
      <c r="I262" s="148"/>
      <c r="J262" s="149"/>
    </row>
    <row r="263">
      <c r="B263" s="71"/>
      <c r="F263" s="71"/>
      <c r="I263" s="148"/>
      <c r="J263" s="149"/>
    </row>
    <row r="264">
      <c r="B264" s="71"/>
      <c r="F264" s="71"/>
      <c r="I264" s="148"/>
      <c r="J264" s="149"/>
    </row>
    <row r="265">
      <c r="B265" s="71"/>
      <c r="F265" s="71"/>
      <c r="I265" s="148"/>
      <c r="J265" s="149"/>
    </row>
    <row r="266">
      <c r="B266" s="71"/>
      <c r="F266" s="71"/>
      <c r="I266" s="148"/>
      <c r="J266" s="149"/>
    </row>
    <row r="267">
      <c r="B267" s="71"/>
      <c r="F267" s="71"/>
      <c r="I267" s="148"/>
      <c r="J267" s="149"/>
    </row>
    <row r="268">
      <c r="B268" s="71"/>
      <c r="F268" s="71"/>
      <c r="I268" s="148"/>
      <c r="J268" s="149"/>
    </row>
    <row r="269">
      <c r="B269" s="71"/>
      <c r="F269" s="71"/>
      <c r="I269" s="148"/>
      <c r="J269" s="149"/>
    </row>
    <row r="270">
      <c r="B270" s="71"/>
      <c r="F270" s="71"/>
      <c r="I270" s="148"/>
      <c r="J270" s="149"/>
    </row>
    <row r="271">
      <c r="B271" s="71"/>
      <c r="F271" s="71"/>
      <c r="I271" s="148"/>
      <c r="J271" s="149"/>
    </row>
    <row r="272">
      <c r="B272" s="71"/>
      <c r="F272" s="71"/>
      <c r="I272" s="148"/>
      <c r="J272" s="149"/>
    </row>
    <row r="273">
      <c r="B273" s="71"/>
      <c r="F273" s="71"/>
      <c r="I273" s="148"/>
      <c r="J273" s="149"/>
    </row>
    <row r="274">
      <c r="B274" s="71"/>
      <c r="F274" s="71"/>
      <c r="I274" s="148"/>
      <c r="J274" s="149"/>
    </row>
    <row r="275">
      <c r="B275" s="71"/>
      <c r="F275" s="71"/>
      <c r="I275" s="148"/>
      <c r="J275" s="149"/>
    </row>
    <row r="276">
      <c r="B276" s="71"/>
      <c r="F276" s="71"/>
      <c r="I276" s="148"/>
      <c r="J276" s="149"/>
    </row>
    <row r="277">
      <c r="B277" s="71"/>
      <c r="F277" s="71"/>
      <c r="I277" s="148"/>
      <c r="J277" s="149"/>
    </row>
    <row r="278">
      <c r="B278" s="71"/>
      <c r="F278" s="71"/>
      <c r="I278" s="148"/>
      <c r="J278" s="149"/>
    </row>
    <row r="279">
      <c r="B279" s="71"/>
      <c r="F279" s="71"/>
      <c r="I279" s="148"/>
      <c r="J279" s="149"/>
    </row>
    <row r="280">
      <c r="B280" s="71"/>
      <c r="F280" s="71"/>
      <c r="I280" s="148"/>
      <c r="J280" s="149"/>
    </row>
    <row r="281">
      <c r="B281" s="71"/>
      <c r="F281" s="71"/>
      <c r="I281" s="148"/>
      <c r="J281" s="149"/>
    </row>
    <row r="282">
      <c r="B282" s="71"/>
      <c r="F282" s="71"/>
      <c r="I282" s="148"/>
      <c r="J282" s="149"/>
    </row>
    <row r="283">
      <c r="B283" s="71"/>
      <c r="F283" s="71"/>
      <c r="I283" s="148"/>
      <c r="J283" s="149"/>
    </row>
    <row r="284">
      <c r="B284" s="71"/>
      <c r="F284" s="71"/>
      <c r="I284" s="148"/>
      <c r="J284" s="149"/>
    </row>
    <row r="285">
      <c r="B285" s="71"/>
      <c r="F285" s="71"/>
      <c r="I285" s="148"/>
      <c r="J285" s="149"/>
    </row>
    <row r="286">
      <c r="B286" s="71"/>
      <c r="F286" s="71"/>
      <c r="I286" s="148"/>
      <c r="J286" s="149"/>
    </row>
    <row r="287">
      <c r="B287" s="71"/>
      <c r="F287" s="71"/>
      <c r="I287" s="148"/>
      <c r="J287" s="149"/>
    </row>
    <row r="288">
      <c r="B288" s="71"/>
      <c r="F288" s="71"/>
      <c r="I288" s="148"/>
      <c r="J288" s="149"/>
    </row>
    <row r="289">
      <c r="B289" s="71"/>
      <c r="F289" s="71"/>
      <c r="I289" s="148"/>
      <c r="J289" s="149"/>
    </row>
    <row r="290">
      <c r="B290" s="71"/>
      <c r="F290" s="71"/>
      <c r="I290" s="148"/>
      <c r="J290" s="149"/>
    </row>
    <row r="291">
      <c r="B291" s="71"/>
      <c r="F291" s="71"/>
      <c r="I291" s="148"/>
      <c r="J291" s="149"/>
    </row>
    <row r="292">
      <c r="B292" s="71"/>
      <c r="F292" s="71"/>
      <c r="I292" s="148"/>
      <c r="J292" s="149"/>
    </row>
    <row r="293">
      <c r="B293" s="71"/>
      <c r="F293" s="71"/>
      <c r="I293" s="148"/>
      <c r="J293" s="149"/>
    </row>
    <row r="294">
      <c r="B294" s="71"/>
      <c r="F294" s="71"/>
      <c r="I294" s="148"/>
      <c r="J294" s="149"/>
    </row>
    <row r="295">
      <c r="B295" s="71"/>
      <c r="F295" s="71"/>
      <c r="I295" s="148"/>
      <c r="J295" s="149"/>
    </row>
    <row r="296">
      <c r="B296" s="71"/>
      <c r="F296" s="71"/>
      <c r="I296" s="148"/>
      <c r="J296" s="149"/>
    </row>
    <row r="297">
      <c r="B297" s="71"/>
      <c r="F297" s="71"/>
      <c r="I297" s="148"/>
      <c r="J297" s="149"/>
    </row>
    <row r="298">
      <c r="B298" s="71"/>
      <c r="F298" s="71"/>
      <c r="I298" s="148"/>
      <c r="J298" s="149"/>
    </row>
    <row r="299">
      <c r="B299" s="71"/>
      <c r="F299" s="71"/>
      <c r="I299" s="148"/>
      <c r="J299" s="149"/>
    </row>
    <row r="300">
      <c r="B300" s="71"/>
      <c r="F300" s="71"/>
      <c r="I300" s="148"/>
      <c r="J300" s="149"/>
    </row>
    <row r="301">
      <c r="B301" s="71"/>
      <c r="F301" s="71"/>
      <c r="I301" s="148"/>
      <c r="J301" s="149"/>
    </row>
    <row r="302">
      <c r="B302" s="71"/>
      <c r="F302" s="71"/>
      <c r="I302" s="148"/>
      <c r="J302" s="149"/>
    </row>
    <row r="303">
      <c r="B303" s="71"/>
      <c r="F303" s="71"/>
      <c r="I303" s="148"/>
      <c r="J303" s="149"/>
    </row>
    <row r="304">
      <c r="B304" s="71"/>
      <c r="F304" s="71"/>
      <c r="I304" s="148"/>
      <c r="J304" s="149"/>
    </row>
    <row r="305">
      <c r="B305" s="71"/>
      <c r="F305" s="71"/>
      <c r="I305" s="148"/>
      <c r="J305" s="149"/>
    </row>
    <row r="306">
      <c r="B306" s="71"/>
      <c r="F306" s="71"/>
      <c r="I306" s="148"/>
      <c r="J306" s="149"/>
    </row>
    <row r="307">
      <c r="B307" s="71"/>
      <c r="F307" s="71"/>
      <c r="I307" s="148"/>
      <c r="J307" s="149"/>
    </row>
    <row r="308">
      <c r="B308" s="71"/>
      <c r="F308" s="71"/>
      <c r="I308" s="148"/>
      <c r="J308" s="149"/>
    </row>
    <row r="309">
      <c r="B309" s="71"/>
      <c r="F309" s="71"/>
      <c r="I309" s="148"/>
      <c r="J309" s="149"/>
    </row>
    <row r="310">
      <c r="B310" s="71"/>
      <c r="F310" s="71"/>
      <c r="I310" s="148"/>
      <c r="J310" s="149"/>
    </row>
    <row r="311">
      <c r="B311" s="71"/>
      <c r="F311" s="71"/>
      <c r="I311" s="148"/>
      <c r="J311" s="149"/>
    </row>
    <row r="312">
      <c r="B312" s="71"/>
      <c r="F312" s="71"/>
      <c r="I312" s="148"/>
      <c r="J312" s="149"/>
    </row>
    <row r="313">
      <c r="B313" s="71"/>
      <c r="F313" s="71"/>
      <c r="I313" s="148"/>
      <c r="J313" s="149"/>
    </row>
    <row r="314">
      <c r="B314" s="71"/>
      <c r="F314" s="71"/>
      <c r="I314" s="148"/>
      <c r="J314" s="149"/>
    </row>
    <row r="315">
      <c r="B315" s="71"/>
      <c r="F315" s="71"/>
      <c r="I315" s="148"/>
      <c r="J315" s="149"/>
    </row>
    <row r="316">
      <c r="B316" s="71"/>
      <c r="F316" s="71"/>
      <c r="I316" s="148"/>
      <c r="J316" s="149"/>
    </row>
    <row r="317">
      <c r="B317" s="71"/>
      <c r="F317" s="71"/>
      <c r="I317" s="148"/>
      <c r="J317" s="149"/>
    </row>
    <row r="318">
      <c r="B318" s="71"/>
      <c r="F318" s="71"/>
      <c r="I318" s="148"/>
      <c r="J318" s="149"/>
    </row>
    <row r="319">
      <c r="B319" s="71"/>
      <c r="F319" s="71"/>
      <c r="I319" s="148"/>
      <c r="J319" s="149"/>
    </row>
    <row r="320">
      <c r="B320" s="71"/>
      <c r="F320" s="71"/>
      <c r="I320" s="148"/>
      <c r="J320" s="149"/>
    </row>
    <row r="321">
      <c r="B321" s="71"/>
      <c r="F321" s="71"/>
      <c r="I321" s="148"/>
      <c r="J321" s="149"/>
    </row>
    <row r="322">
      <c r="B322" s="71"/>
      <c r="F322" s="71"/>
      <c r="I322" s="148"/>
      <c r="J322" s="149"/>
    </row>
    <row r="323">
      <c r="B323" s="71"/>
      <c r="F323" s="71"/>
      <c r="I323" s="148"/>
      <c r="J323" s="149"/>
    </row>
    <row r="324">
      <c r="B324" s="71"/>
      <c r="F324" s="71"/>
      <c r="I324" s="148"/>
      <c r="J324" s="149"/>
    </row>
    <row r="325">
      <c r="B325" s="71"/>
      <c r="F325" s="71"/>
      <c r="I325" s="148"/>
      <c r="J325" s="149"/>
    </row>
    <row r="326">
      <c r="B326" s="71"/>
      <c r="F326" s="71"/>
      <c r="I326" s="148"/>
      <c r="J326" s="149"/>
    </row>
    <row r="327">
      <c r="B327" s="71"/>
      <c r="F327" s="71"/>
      <c r="I327" s="148"/>
      <c r="J327" s="149"/>
    </row>
    <row r="328">
      <c r="B328" s="71"/>
      <c r="F328" s="71"/>
      <c r="I328" s="148"/>
      <c r="J328" s="149"/>
    </row>
    <row r="329">
      <c r="B329" s="71"/>
      <c r="F329" s="71"/>
      <c r="I329" s="148"/>
      <c r="J329" s="149"/>
    </row>
    <row r="330">
      <c r="B330" s="71"/>
      <c r="F330" s="71"/>
      <c r="I330" s="148"/>
      <c r="J330" s="149"/>
    </row>
    <row r="331">
      <c r="B331" s="71"/>
      <c r="F331" s="71"/>
      <c r="I331" s="148"/>
      <c r="J331" s="149"/>
    </row>
    <row r="332">
      <c r="B332" s="71"/>
      <c r="F332" s="71"/>
      <c r="I332" s="148"/>
      <c r="J332" s="149"/>
    </row>
    <row r="333">
      <c r="B333" s="71"/>
      <c r="F333" s="71"/>
      <c r="I333" s="148"/>
      <c r="J333" s="149"/>
    </row>
    <row r="334">
      <c r="B334" s="71"/>
      <c r="F334" s="71"/>
      <c r="I334" s="148"/>
      <c r="J334" s="149"/>
    </row>
    <row r="335">
      <c r="B335" s="71"/>
      <c r="F335" s="71"/>
      <c r="I335" s="148"/>
      <c r="J335" s="149"/>
    </row>
    <row r="336">
      <c r="B336" s="71"/>
      <c r="F336" s="71"/>
      <c r="I336" s="148"/>
      <c r="J336" s="149"/>
    </row>
    <row r="337">
      <c r="B337" s="71"/>
      <c r="F337" s="71"/>
      <c r="I337" s="148"/>
      <c r="J337" s="149"/>
    </row>
    <row r="338">
      <c r="B338" s="71"/>
      <c r="F338" s="71"/>
      <c r="I338" s="148"/>
      <c r="J338" s="149"/>
    </row>
    <row r="339">
      <c r="B339" s="71"/>
      <c r="F339" s="71"/>
      <c r="I339" s="148"/>
      <c r="J339" s="149"/>
    </row>
    <row r="340">
      <c r="B340" s="71"/>
      <c r="F340" s="71"/>
      <c r="I340" s="148"/>
      <c r="J340" s="149"/>
    </row>
    <row r="341">
      <c r="B341" s="71"/>
      <c r="F341" s="71"/>
      <c r="I341" s="148"/>
      <c r="J341" s="149"/>
    </row>
    <row r="342">
      <c r="B342" s="71"/>
      <c r="F342" s="71"/>
      <c r="I342" s="148"/>
      <c r="J342" s="149"/>
    </row>
    <row r="343">
      <c r="B343" s="71"/>
      <c r="F343" s="71"/>
      <c r="I343" s="148"/>
      <c r="J343" s="149"/>
    </row>
    <row r="344">
      <c r="B344" s="71"/>
      <c r="F344" s="71"/>
      <c r="I344" s="148"/>
      <c r="J344" s="149"/>
    </row>
    <row r="345">
      <c r="B345" s="71"/>
      <c r="F345" s="71"/>
      <c r="I345" s="148"/>
      <c r="J345" s="149"/>
    </row>
    <row r="346">
      <c r="B346" s="71"/>
      <c r="F346" s="71"/>
      <c r="I346" s="148"/>
      <c r="J346" s="149"/>
    </row>
    <row r="347">
      <c r="B347" s="71"/>
      <c r="F347" s="71"/>
      <c r="I347" s="148"/>
      <c r="J347" s="149"/>
    </row>
    <row r="348">
      <c r="B348" s="71"/>
      <c r="F348" s="71"/>
      <c r="I348" s="148"/>
      <c r="J348" s="149"/>
    </row>
    <row r="349">
      <c r="B349" s="71"/>
      <c r="F349" s="71"/>
      <c r="I349" s="148"/>
      <c r="J349" s="149"/>
    </row>
    <row r="350">
      <c r="B350" s="71"/>
      <c r="F350" s="71"/>
      <c r="I350" s="148"/>
      <c r="J350" s="149"/>
    </row>
    <row r="351">
      <c r="B351" s="71"/>
      <c r="F351" s="71"/>
      <c r="I351" s="148"/>
      <c r="J351" s="149"/>
    </row>
    <row r="352">
      <c r="B352" s="71"/>
      <c r="F352" s="71"/>
      <c r="I352" s="148"/>
      <c r="J352" s="149"/>
    </row>
    <row r="353">
      <c r="B353" s="71"/>
      <c r="F353" s="71"/>
      <c r="I353" s="148"/>
      <c r="J353" s="149"/>
    </row>
    <row r="354">
      <c r="B354" s="71"/>
      <c r="F354" s="71"/>
      <c r="I354" s="148"/>
      <c r="J354" s="149"/>
    </row>
    <row r="355">
      <c r="B355" s="71"/>
      <c r="F355" s="71"/>
      <c r="I355" s="148"/>
      <c r="J355" s="149"/>
    </row>
    <row r="356">
      <c r="B356" s="71"/>
      <c r="F356" s="71"/>
      <c r="I356" s="148"/>
      <c r="J356" s="149"/>
    </row>
    <row r="357">
      <c r="B357" s="71"/>
      <c r="F357" s="71"/>
      <c r="I357" s="148"/>
      <c r="J357" s="149"/>
    </row>
    <row r="358">
      <c r="B358" s="71"/>
      <c r="F358" s="71"/>
      <c r="I358" s="148"/>
      <c r="J358" s="149"/>
    </row>
    <row r="359">
      <c r="B359" s="71"/>
      <c r="F359" s="71"/>
      <c r="I359" s="148"/>
      <c r="J359" s="149"/>
    </row>
    <row r="360">
      <c r="B360" s="71"/>
      <c r="F360" s="71"/>
      <c r="I360" s="148"/>
      <c r="J360" s="149"/>
    </row>
    <row r="361">
      <c r="B361" s="71"/>
      <c r="F361" s="71"/>
      <c r="I361" s="148"/>
      <c r="J361" s="149"/>
    </row>
    <row r="362">
      <c r="B362" s="71"/>
      <c r="F362" s="71"/>
      <c r="I362" s="148"/>
      <c r="J362" s="149"/>
    </row>
    <row r="363">
      <c r="B363" s="71"/>
      <c r="F363" s="71"/>
      <c r="I363" s="148"/>
      <c r="J363" s="149"/>
    </row>
    <row r="364">
      <c r="B364" s="71"/>
      <c r="F364" s="71"/>
      <c r="I364" s="148"/>
      <c r="J364" s="149"/>
    </row>
    <row r="365">
      <c r="B365" s="71"/>
      <c r="F365" s="71"/>
      <c r="I365" s="148"/>
      <c r="J365" s="149"/>
    </row>
    <row r="366">
      <c r="B366" s="71"/>
      <c r="F366" s="71"/>
      <c r="I366" s="148"/>
      <c r="J366" s="149"/>
    </row>
    <row r="367">
      <c r="B367" s="71"/>
      <c r="F367" s="71"/>
      <c r="I367" s="148"/>
      <c r="J367" s="149"/>
    </row>
    <row r="368">
      <c r="B368" s="71"/>
      <c r="F368" s="71"/>
      <c r="I368" s="148"/>
      <c r="J368" s="149"/>
    </row>
    <row r="369">
      <c r="B369" s="71"/>
      <c r="F369" s="71"/>
      <c r="I369" s="148"/>
      <c r="J369" s="149"/>
    </row>
    <row r="370">
      <c r="B370" s="71"/>
      <c r="F370" s="71"/>
      <c r="I370" s="148"/>
      <c r="J370" s="149"/>
    </row>
    <row r="371">
      <c r="B371" s="71"/>
      <c r="F371" s="71"/>
      <c r="I371" s="148"/>
      <c r="J371" s="149"/>
    </row>
    <row r="372">
      <c r="B372" s="71"/>
      <c r="F372" s="71"/>
      <c r="I372" s="148"/>
      <c r="J372" s="149"/>
    </row>
    <row r="373">
      <c r="B373" s="71"/>
      <c r="F373" s="71"/>
      <c r="I373" s="148"/>
      <c r="J373" s="149"/>
    </row>
    <row r="374">
      <c r="B374" s="71"/>
      <c r="F374" s="71"/>
      <c r="I374" s="148"/>
      <c r="J374" s="149"/>
    </row>
    <row r="375">
      <c r="B375" s="71"/>
      <c r="F375" s="71"/>
      <c r="I375" s="148"/>
      <c r="J375" s="149"/>
    </row>
    <row r="376">
      <c r="B376" s="71"/>
      <c r="F376" s="71"/>
      <c r="I376" s="148"/>
      <c r="J376" s="149"/>
    </row>
    <row r="377">
      <c r="B377" s="71"/>
      <c r="F377" s="71"/>
      <c r="I377" s="148"/>
      <c r="J377" s="149"/>
    </row>
    <row r="378">
      <c r="B378" s="71"/>
      <c r="F378" s="71"/>
      <c r="I378" s="148"/>
      <c r="J378" s="149"/>
    </row>
    <row r="379">
      <c r="B379" s="71"/>
      <c r="F379" s="71"/>
      <c r="I379" s="148"/>
      <c r="J379" s="149"/>
    </row>
    <row r="380">
      <c r="B380" s="71"/>
      <c r="F380" s="71"/>
      <c r="I380" s="148"/>
      <c r="J380" s="149"/>
    </row>
    <row r="381">
      <c r="B381" s="71"/>
      <c r="F381" s="71"/>
      <c r="I381" s="148"/>
      <c r="J381" s="149"/>
    </row>
    <row r="382">
      <c r="B382" s="71"/>
      <c r="F382" s="71"/>
      <c r="I382" s="148"/>
      <c r="J382" s="149"/>
    </row>
    <row r="383">
      <c r="B383" s="71"/>
      <c r="F383" s="71"/>
      <c r="I383" s="148"/>
      <c r="J383" s="149"/>
    </row>
    <row r="384">
      <c r="B384" s="71"/>
      <c r="F384" s="71"/>
      <c r="I384" s="148"/>
      <c r="J384" s="149"/>
    </row>
    <row r="385">
      <c r="B385" s="71"/>
      <c r="F385" s="71"/>
      <c r="I385" s="148"/>
      <c r="J385" s="149"/>
    </row>
    <row r="386">
      <c r="B386" s="71"/>
      <c r="F386" s="71"/>
      <c r="I386" s="148"/>
      <c r="J386" s="149"/>
    </row>
    <row r="387">
      <c r="B387" s="71"/>
      <c r="F387" s="71"/>
      <c r="I387" s="148"/>
      <c r="J387" s="149"/>
    </row>
    <row r="388">
      <c r="B388" s="71"/>
      <c r="F388" s="71"/>
      <c r="I388" s="148"/>
      <c r="J388" s="149"/>
    </row>
    <row r="389">
      <c r="B389" s="71"/>
      <c r="F389" s="71"/>
      <c r="I389" s="148"/>
      <c r="J389" s="149"/>
    </row>
    <row r="390">
      <c r="B390" s="71"/>
      <c r="F390" s="71"/>
      <c r="I390" s="148"/>
      <c r="J390" s="149"/>
    </row>
    <row r="391">
      <c r="B391" s="71"/>
      <c r="F391" s="71"/>
      <c r="I391" s="148"/>
      <c r="J391" s="149"/>
    </row>
    <row r="392">
      <c r="B392" s="71"/>
      <c r="F392" s="71"/>
      <c r="I392" s="148"/>
      <c r="J392" s="149"/>
    </row>
    <row r="393">
      <c r="B393" s="71"/>
      <c r="F393" s="71"/>
      <c r="I393" s="148"/>
      <c r="J393" s="149"/>
    </row>
    <row r="394">
      <c r="B394" s="71"/>
      <c r="F394" s="71"/>
      <c r="I394" s="148"/>
      <c r="J394" s="149"/>
    </row>
    <row r="395">
      <c r="B395" s="71"/>
      <c r="F395" s="71"/>
      <c r="I395" s="148"/>
      <c r="J395" s="149"/>
    </row>
    <row r="396">
      <c r="B396" s="71"/>
      <c r="F396" s="71"/>
      <c r="I396" s="148"/>
      <c r="J396" s="149"/>
    </row>
    <row r="397">
      <c r="B397" s="71"/>
      <c r="F397" s="71"/>
      <c r="I397" s="148"/>
      <c r="J397" s="149"/>
    </row>
    <row r="398">
      <c r="B398" s="71"/>
      <c r="F398" s="71"/>
      <c r="I398" s="148"/>
      <c r="J398" s="149"/>
    </row>
    <row r="399">
      <c r="B399" s="71"/>
      <c r="F399" s="71"/>
      <c r="I399" s="148"/>
      <c r="J399" s="149"/>
    </row>
    <row r="400">
      <c r="B400" s="71"/>
      <c r="F400" s="71"/>
      <c r="I400" s="148"/>
      <c r="J400" s="149"/>
    </row>
    <row r="401">
      <c r="B401" s="71"/>
      <c r="F401" s="71"/>
      <c r="I401" s="148"/>
      <c r="J401" s="149"/>
    </row>
    <row r="402">
      <c r="B402" s="71"/>
      <c r="F402" s="71"/>
      <c r="I402" s="148"/>
      <c r="J402" s="149"/>
    </row>
    <row r="403">
      <c r="B403" s="71"/>
      <c r="F403" s="71"/>
      <c r="I403" s="148"/>
      <c r="J403" s="149"/>
    </row>
    <row r="404">
      <c r="B404" s="71"/>
      <c r="F404" s="71"/>
      <c r="I404" s="148"/>
      <c r="J404" s="149"/>
    </row>
    <row r="405">
      <c r="B405" s="71"/>
      <c r="F405" s="71"/>
      <c r="I405" s="148"/>
      <c r="J405" s="149"/>
    </row>
    <row r="406">
      <c r="B406" s="71"/>
      <c r="F406" s="71"/>
      <c r="I406" s="148"/>
      <c r="J406" s="149"/>
    </row>
    <row r="407">
      <c r="B407" s="71"/>
      <c r="F407" s="71"/>
      <c r="I407" s="148"/>
      <c r="J407" s="149"/>
    </row>
    <row r="408">
      <c r="B408" s="71"/>
      <c r="F408" s="71"/>
      <c r="I408" s="148"/>
      <c r="J408" s="149"/>
    </row>
    <row r="409">
      <c r="B409" s="71"/>
      <c r="F409" s="71"/>
      <c r="I409" s="148"/>
      <c r="J409" s="149"/>
    </row>
    <row r="410">
      <c r="B410" s="71"/>
      <c r="F410" s="71"/>
      <c r="I410" s="148"/>
      <c r="J410" s="149"/>
    </row>
    <row r="411">
      <c r="B411" s="71"/>
      <c r="F411" s="71"/>
      <c r="I411" s="148"/>
      <c r="J411" s="149"/>
    </row>
    <row r="412">
      <c r="B412" s="71"/>
      <c r="F412" s="71"/>
      <c r="I412" s="148"/>
      <c r="J412" s="149"/>
    </row>
    <row r="413">
      <c r="B413" s="71"/>
      <c r="F413" s="71"/>
      <c r="I413" s="148"/>
      <c r="J413" s="149"/>
    </row>
    <row r="414">
      <c r="B414" s="71"/>
      <c r="F414" s="71"/>
      <c r="I414" s="148"/>
      <c r="J414" s="149"/>
    </row>
    <row r="415">
      <c r="B415" s="71"/>
      <c r="F415" s="71"/>
      <c r="I415" s="148"/>
      <c r="J415" s="149"/>
    </row>
    <row r="416">
      <c r="B416" s="71"/>
      <c r="F416" s="71"/>
      <c r="I416" s="148"/>
      <c r="J416" s="149"/>
    </row>
    <row r="417">
      <c r="B417" s="71"/>
      <c r="F417" s="71"/>
      <c r="I417" s="148"/>
      <c r="J417" s="149"/>
    </row>
    <row r="418">
      <c r="B418" s="71"/>
      <c r="F418" s="71"/>
      <c r="I418" s="148"/>
      <c r="J418" s="149"/>
    </row>
    <row r="419">
      <c r="B419" s="71"/>
      <c r="F419" s="71"/>
      <c r="I419" s="148"/>
      <c r="J419" s="149"/>
    </row>
    <row r="420">
      <c r="B420" s="71"/>
      <c r="F420" s="71"/>
      <c r="I420" s="148"/>
      <c r="J420" s="149"/>
    </row>
    <row r="421">
      <c r="B421" s="71"/>
      <c r="F421" s="71"/>
      <c r="I421" s="148"/>
      <c r="J421" s="149"/>
    </row>
    <row r="422">
      <c r="B422" s="71"/>
      <c r="F422" s="71"/>
      <c r="I422" s="148"/>
      <c r="J422" s="149"/>
    </row>
    <row r="423">
      <c r="B423" s="71"/>
      <c r="F423" s="71"/>
      <c r="I423" s="148"/>
      <c r="J423" s="149"/>
    </row>
    <row r="424">
      <c r="B424" s="71"/>
      <c r="F424" s="71"/>
      <c r="I424" s="148"/>
      <c r="J424" s="149"/>
    </row>
    <row r="425">
      <c r="B425" s="71"/>
      <c r="F425" s="71"/>
      <c r="I425" s="148"/>
      <c r="J425" s="149"/>
    </row>
    <row r="426">
      <c r="B426" s="71"/>
      <c r="F426" s="71"/>
      <c r="I426" s="148"/>
      <c r="J426" s="149"/>
    </row>
    <row r="427">
      <c r="B427" s="71"/>
      <c r="F427" s="71"/>
      <c r="I427" s="148"/>
      <c r="J427" s="149"/>
    </row>
    <row r="428">
      <c r="B428" s="71"/>
      <c r="F428" s="71"/>
      <c r="I428" s="148"/>
      <c r="J428" s="149"/>
    </row>
    <row r="429">
      <c r="B429" s="71"/>
      <c r="F429" s="71"/>
      <c r="I429" s="148"/>
      <c r="J429" s="149"/>
    </row>
    <row r="430">
      <c r="B430" s="71"/>
      <c r="F430" s="71"/>
      <c r="I430" s="148"/>
      <c r="J430" s="149"/>
    </row>
    <row r="431">
      <c r="B431" s="71"/>
      <c r="F431" s="71"/>
      <c r="I431" s="148"/>
      <c r="J431" s="149"/>
    </row>
    <row r="432">
      <c r="B432" s="71"/>
      <c r="F432" s="71"/>
      <c r="I432" s="148"/>
      <c r="J432" s="149"/>
    </row>
    <row r="433">
      <c r="B433" s="71"/>
      <c r="F433" s="71"/>
      <c r="I433" s="148"/>
      <c r="J433" s="149"/>
    </row>
    <row r="434">
      <c r="B434" s="71"/>
      <c r="F434" s="71"/>
      <c r="I434" s="148"/>
      <c r="J434" s="149"/>
    </row>
    <row r="435">
      <c r="B435" s="71"/>
      <c r="F435" s="71"/>
      <c r="I435" s="148"/>
      <c r="J435" s="149"/>
    </row>
    <row r="436">
      <c r="B436" s="71"/>
      <c r="F436" s="71"/>
      <c r="I436" s="148"/>
      <c r="J436" s="149"/>
    </row>
    <row r="437">
      <c r="B437" s="71"/>
      <c r="F437" s="71"/>
      <c r="I437" s="148"/>
      <c r="J437" s="149"/>
    </row>
    <row r="438">
      <c r="B438" s="71"/>
      <c r="F438" s="71"/>
      <c r="I438" s="148"/>
      <c r="J438" s="149"/>
    </row>
    <row r="439">
      <c r="B439" s="71"/>
      <c r="F439" s="71"/>
      <c r="I439" s="148"/>
      <c r="J439" s="149"/>
    </row>
    <row r="440">
      <c r="B440" s="71"/>
      <c r="F440" s="71"/>
      <c r="I440" s="148"/>
      <c r="J440" s="149"/>
    </row>
    <row r="441">
      <c r="B441" s="71"/>
      <c r="F441" s="71"/>
      <c r="I441" s="148"/>
      <c r="J441" s="149"/>
    </row>
    <row r="442">
      <c r="B442" s="71"/>
      <c r="F442" s="71"/>
      <c r="I442" s="148"/>
      <c r="J442" s="149"/>
    </row>
    <row r="443">
      <c r="B443" s="71"/>
      <c r="F443" s="71"/>
      <c r="I443" s="148"/>
      <c r="J443" s="149"/>
    </row>
    <row r="444">
      <c r="B444" s="71"/>
      <c r="F444" s="71"/>
      <c r="I444" s="148"/>
      <c r="J444" s="149"/>
    </row>
    <row r="445">
      <c r="B445" s="71"/>
      <c r="F445" s="71"/>
      <c r="I445" s="148"/>
      <c r="J445" s="149"/>
    </row>
    <row r="446">
      <c r="B446" s="71"/>
      <c r="F446" s="71"/>
      <c r="I446" s="148"/>
      <c r="J446" s="149"/>
    </row>
    <row r="447">
      <c r="B447" s="71"/>
      <c r="F447" s="71"/>
      <c r="I447" s="148"/>
      <c r="J447" s="149"/>
    </row>
    <row r="448">
      <c r="B448" s="71"/>
      <c r="F448" s="71"/>
      <c r="I448" s="148"/>
      <c r="J448" s="149"/>
    </row>
    <row r="449">
      <c r="B449" s="71"/>
      <c r="F449" s="71"/>
      <c r="I449" s="148"/>
      <c r="J449" s="149"/>
    </row>
    <row r="450">
      <c r="B450" s="71"/>
      <c r="F450" s="71"/>
      <c r="I450" s="148"/>
      <c r="J450" s="149"/>
    </row>
    <row r="451">
      <c r="B451" s="71"/>
      <c r="F451" s="71"/>
      <c r="I451" s="148"/>
      <c r="J451" s="149"/>
    </row>
    <row r="452">
      <c r="B452" s="71"/>
      <c r="F452" s="71"/>
      <c r="I452" s="148"/>
      <c r="J452" s="149"/>
    </row>
    <row r="453">
      <c r="B453" s="71"/>
      <c r="F453" s="71"/>
      <c r="I453" s="148"/>
      <c r="J453" s="149"/>
    </row>
    <row r="454">
      <c r="B454" s="71"/>
      <c r="F454" s="71"/>
      <c r="I454" s="148"/>
      <c r="J454" s="149"/>
    </row>
    <row r="455">
      <c r="B455" s="71"/>
      <c r="F455" s="71"/>
      <c r="I455" s="148"/>
      <c r="J455" s="149"/>
    </row>
    <row r="456">
      <c r="B456" s="71"/>
      <c r="F456" s="71"/>
      <c r="I456" s="148"/>
      <c r="J456" s="149"/>
    </row>
    <row r="457">
      <c r="B457" s="71"/>
      <c r="F457" s="71"/>
      <c r="I457" s="148"/>
      <c r="J457" s="149"/>
    </row>
    <row r="458">
      <c r="B458" s="71"/>
      <c r="F458" s="71"/>
      <c r="I458" s="148"/>
      <c r="J458" s="149"/>
    </row>
    <row r="459">
      <c r="B459" s="71"/>
      <c r="F459" s="71"/>
      <c r="I459" s="148"/>
      <c r="J459" s="149"/>
    </row>
    <row r="460">
      <c r="B460" s="71"/>
      <c r="F460" s="71"/>
      <c r="I460" s="148"/>
      <c r="J460" s="149"/>
    </row>
    <row r="461">
      <c r="B461" s="71"/>
      <c r="F461" s="71"/>
      <c r="I461" s="148"/>
      <c r="J461" s="149"/>
    </row>
    <row r="462">
      <c r="B462" s="71"/>
      <c r="F462" s="71"/>
      <c r="I462" s="148"/>
      <c r="J462" s="149"/>
    </row>
    <row r="463">
      <c r="B463" s="71"/>
      <c r="F463" s="71"/>
      <c r="I463" s="148"/>
      <c r="J463" s="149"/>
    </row>
    <row r="464">
      <c r="B464" s="71"/>
      <c r="F464" s="71"/>
      <c r="I464" s="148"/>
      <c r="J464" s="149"/>
    </row>
    <row r="465">
      <c r="B465" s="71"/>
      <c r="F465" s="71"/>
      <c r="I465" s="148"/>
      <c r="J465" s="149"/>
    </row>
    <row r="466">
      <c r="B466" s="71"/>
      <c r="F466" s="71"/>
      <c r="I466" s="148"/>
      <c r="J466" s="149"/>
    </row>
    <row r="467">
      <c r="B467" s="71"/>
      <c r="F467" s="71"/>
      <c r="I467" s="148"/>
      <c r="J467" s="149"/>
    </row>
    <row r="468">
      <c r="B468" s="71"/>
      <c r="F468" s="71"/>
      <c r="I468" s="148"/>
      <c r="J468" s="149"/>
    </row>
    <row r="469">
      <c r="B469" s="71"/>
      <c r="F469" s="71"/>
      <c r="I469" s="148"/>
      <c r="J469" s="149"/>
    </row>
    <row r="470">
      <c r="B470" s="71"/>
      <c r="F470" s="71"/>
      <c r="I470" s="148"/>
      <c r="J470" s="149"/>
    </row>
    <row r="471">
      <c r="B471" s="71"/>
      <c r="F471" s="71"/>
      <c r="I471" s="148"/>
      <c r="J471" s="149"/>
    </row>
    <row r="472">
      <c r="B472" s="71"/>
      <c r="F472" s="71"/>
      <c r="I472" s="148"/>
      <c r="J472" s="149"/>
    </row>
    <row r="473">
      <c r="B473" s="71"/>
      <c r="F473" s="71"/>
      <c r="I473" s="148"/>
      <c r="J473" s="149"/>
    </row>
    <row r="474">
      <c r="B474" s="71"/>
      <c r="F474" s="71"/>
      <c r="I474" s="148"/>
      <c r="J474" s="149"/>
    </row>
    <row r="475">
      <c r="B475" s="71"/>
      <c r="F475" s="71"/>
      <c r="I475" s="148"/>
      <c r="J475" s="149"/>
    </row>
    <row r="476">
      <c r="B476" s="71"/>
      <c r="F476" s="71"/>
      <c r="I476" s="148"/>
      <c r="J476" s="149"/>
    </row>
    <row r="477">
      <c r="B477" s="71"/>
      <c r="F477" s="71"/>
      <c r="I477" s="148"/>
      <c r="J477" s="149"/>
    </row>
    <row r="478">
      <c r="B478" s="71"/>
      <c r="F478" s="71"/>
      <c r="I478" s="148"/>
      <c r="J478" s="149"/>
    </row>
    <row r="479">
      <c r="B479" s="71"/>
      <c r="F479" s="71"/>
      <c r="I479" s="148"/>
      <c r="J479" s="149"/>
    </row>
    <row r="480">
      <c r="B480" s="71"/>
      <c r="F480" s="71"/>
      <c r="I480" s="148"/>
      <c r="J480" s="149"/>
    </row>
    <row r="481">
      <c r="B481" s="71"/>
      <c r="F481" s="71"/>
      <c r="I481" s="148"/>
      <c r="J481" s="149"/>
    </row>
    <row r="482">
      <c r="B482" s="71"/>
      <c r="F482" s="71"/>
      <c r="I482" s="148"/>
      <c r="J482" s="149"/>
    </row>
    <row r="483">
      <c r="B483" s="71"/>
      <c r="F483" s="71"/>
      <c r="I483" s="148"/>
      <c r="J483" s="149"/>
    </row>
    <row r="484">
      <c r="B484" s="71"/>
      <c r="F484" s="71"/>
      <c r="I484" s="148"/>
      <c r="J484" s="149"/>
    </row>
    <row r="485">
      <c r="B485" s="71"/>
      <c r="F485" s="71"/>
      <c r="I485" s="148"/>
      <c r="J485" s="149"/>
    </row>
    <row r="486">
      <c r="B486" s="71"/>
      <c r="F486" s="71"/>
      <c r="I486" s="148"/>
      <c r="J486" s="149"/>
    </row>
    <row r="487">
      <c r="B487" s="71"/>
      <c r="F487" s="71"/>
      <c r="I487" s="148"/>
      <c r="J487" s="149"/>
    </row>
    <row r="488">
      <c r="B488" s="71"/>
      <c r="F488" s="71"/>
      <c r="I488" s="148"/>
      <c r="J488" s="149"/>
    </row>
    <row r="489">
      <c r="B489" s="71"/>
      <c r="F489" s="71"/>
      <c r="I489" s="148"/>
      <c r="J489" s="149"/>
    </row>
    <row r="490">
      <c r="B490" s="71"/>
      <c r="F490" s="71"/>
      <c r="I490" s="148"/>
      <c r="J490" s="149"/>
    </row>
    <row r="491">
      <c r="B491" s="71"/>
      <c r="F491" s="71"/>
      <c r="I491" s="148"/>
      <c r="J491" s="149"/>
    </row>
    <row r="492">
      <c r="B492" s="71"/>
      <c r="F492" s="71"/>
      <c r="I492" s="148"/>
      <c r="J492" s="149"/>
    </row>
    <row r="493">
      <c r="B493" s="71"/>
      <c r="F493" s="71"/>
      <c r="I493" s="148"/>
      <c r="J493" s="149"/>
    </row>
    <row r="494">
      <c r="B494" s="71"/>
      <c r="F494" s="71"/>
      <c r="I494" s="148"/>
      <c r="J494" s="149"/>
    </row>
    <row r="495">
      <c r="B495" s="71"/>
      <c r="F495" s="71"/>
      <c r="I495" s="148"/>
      <c r="J495" s="149"/>
    </row>
    <row r="496">
      <c r="B496" s="71"/>
      <c r="F496" s="71"/>
      <c r="I496" s="148"/>
      <c r="J496" s="149"/>
    </row>
    <row r="497">
      <c r="B497" s="71"/>
      <c r="F497" s="71"/>
      <c r="I497" s="148"/>
      <c r="J497" s="149"/>
    </row>
    <row r="498">
      <c r="B498" s="71"/>
      <c r="F498" s="71"/>
      <c r="I498" s="148"/>
      <c r="J498" s="149"/>
    </row>
    <row r="499">
      <c r="B499" s="71"/>
      <c r="F499" s="71"/>
      <c r="I499" s="148"/>
      <c r="J499" s="149"/>
    </row>
    <row r="500">
      <c r="B500" s="71"/>
      <c r="F500" s="71"/>
      <c r="I500" s="148"/>
      <c r="J500" s="149"/>
    </row>
    <row r="501">
      <c r="B501" s="71"/>
      <c r="F501" s="71"/>
      <c r="I501" s="148"/>
      <c r="J501" s="149"/>
    </row>
    <row r="502">
      <c r="B502" s="71"/>
      <c r="F502" s="71"/>
      <c r="I502" s="148"/>
      <c r="J502" s="149"/>
    </row>
    <row r="503">
      <c r="B503" s="71"/>
      <c r="F503" s="71"/>
      <c r="I503" s="148"/>
      <c r="J503" s="149"/>
    </row>
    <row r="504">
      <c r="B504" s="71"/>
      <c r="F504" s="71"/>
      <c r="I504" s="148"/>
      <c r="J504" s="149"/>
    </row>
    <row r="505">
      <c r="B505" s="71"/>
      <c r="F505" s="71"/>
      <c r="I505" s="148"/>
      <c r="J505" s="149"/>
    </row>
    <row r="506">
      <c r="B506" s="71"/>
      <c r="F506" s="71"/>
      <c r="I506" s="148"/>
      <c r="J506" s="149"/>
    </row>
    <row r="507">
      <c r="B507" s="71"/>
      <c r="F507" s="71"/>
      <c r="I507" s="148"/>
      <c r="J507" s="149"/>
    </row>
    <row r="508">
      <c r="B508" s="71"/>
      <c r="F508" s="71"/>
      <c r="I508" s="148"/>
      <c r="J508" s="149"/>
    </row>
    <row r="509">
      <c r="B509" s="71"/>
      <c r="F509" s="71"/>
      <c r="I509" s="148"/>
      <c r="J509" s="149"/>
    </row>
    <row r="510">
      <c r="B510" s="71"/>
      <c r="F510" s="71"/>
      <c r="I510" s="148"/>
      <c r="J510" s="149"/>
    </row>
    <row r="511">
      <c r="B511" s="71"/>
      <c r="F511" s="71"/>
      <c r="I511" s="148"/>
      <c r="J511" s="149"/>
    </row>
    <row r="512">
      <c r="B512" s="71"/>
      <c r="F512" s="71"/>
      <c r="I512" s="148"/>
      <c r="J512" s="149"/>
    </row>
    <row r="513">
      <c r="B513" s="71"/>
      <c r="F513" s="71"/>
      <c r="I513" s="148"/>
      <c r="J513" s="149"/>
    </row>
    <row r="514">
      <c r="B514" s="71"/>
      <c r="F514" s="71"/>
      <c r="I514" s="148"/>
      <c r="J514" s="149"/>
    </row>
    <row r="515">
      <c r="B515" s="71"/>
      <c r="F515" s="71"/>
      <c r="I515" s="148"/>
      <c r="J515" s="149"/>
    </row>
    <row r="516">
      <c r="B516" s="71"/>
      <c r="F516" s="71"/>
      <c r="I516" s="148"/>
      <c r="J516" s="149"/>
    </row>
    <row r="517">
      <c r="B517" s="71"/>
      <c r="F517" s="71"/>
      <c r="I517" s="148"/>
      <c r="J517" s="149"/>
    </row>
    <row r="518">
      <c r="B518" s="71"/>
      <c r="F518" s="71"/>
      <c r="I518" s="148"/>
      <c r="J518" s="149"/>
    </row>
    <row r="519">
      <c r="B519" s="71"/>
      <c r="F519" s="71"/>
      <c r="I519" s="148"/>
      <c r="J519" s="149"/>
    </row>
    <row r="520">
      <c r="B520" s="71"/>
      <c r="F520" s="71"/>
      <c r="I520" s="148"/>
      <c r="J520" s="149"/>
    </row>
    <row r="521">
      <c r="B521" s="71"/>
      <c r="F521" s="71"/>
      <c r="I521" s="148"/>
      <c r="J521" s="149"/>
    </row>
    <row r="522">
      <c r="B522" s="71"/>
      <c r="F522" s="71"/>
      <c r="I522" s="148"/>
      <c r="J522" s="149"/>
    </row>
    <row r="523">
      <c r="B523" s="71"/>
      <c r="F523" s="71"/>
      <c r="I523" s="148"/>
      <c r="J523" s="149"/>
    </row>
    <row r="524">
      <c r="B524" s="71"/>
      <c r="F524" s="71"/>
      <c r="I524" s="148"/>
      <c r="J524" s="149"/>
    </row>
    <row r="525">
      <c r="B525" s="71"/>
      <c r="F525" s="71"/>
      <c r="I525" s="148"/>
      <c r="J525" s="149"/>
    </row>
    <row r="526">
      <c r="B526" s="71"/>
      <c r="F526" s="71"/>
      <c r="I526" s="148"/>
      <c r="J526" s="149"/>
    </row>
    <row r="527">
      <c r="B527" s="71"/>
      <c r="F527" s="71"/>
      <c r="I527" s="148"/>
      <c r="J527" s="149"/>
    </row>
    <row r="528">
      <c r="B528" s="71"/>
      <c r="F528" s="71"/>
      <c r="I528" s="148"/>
      <c r="J528" s="149"/>
    </row>
    <row r="529">
      <c r="B529" s="71"/>
      <c r="F529" s="71"/>
      <c r="I529" s="148"/>
      <c r="J529" s="149"/>
    </row>
    <row r="530">
      <c r="B530" s="71"/>
      <c r="F530" s="71"/>
      <c r="I530" s="148"/>
      <c r="J530" s="149"/>
    </row>
    <row r="531">
      <c r="B531" s="71"/>
      <c r="F531" s="71"/>
      <c r="I531" s="148"/>
      <c r="J531" s="149"/>
    </row>
    <row r="532">
      <c r="B532" s="71"/>
      <c r="F532" s="71"/>
      <c r="I532" s="148"/>
      <c r="J532" s="149"/>
    </row>
    <row r="533">
      <c r="B533" s="71"/>
      <c r="F533" s="71"/>
      <c r="I533" s="148"/>
      <c r="J533" s="149"/>
    </row>
    <row r="534">
      <c r="B534" s="71"/>
      <c r="F534" s="71"/>
      <c r="I534" s="148"/>
      <c r="J534" s="149"/>
    </row>
    <row r="535">
      <c r="B535" s="71"/>
      <c r="F535" s="71"/>
      <c r="I535" s="148"/>
      <c r="J535" s="149"/>
    </row>
    <row r="536">
      <c r="B536" s="71"/>
      <c r="F536" s="71"/>
      <c r="I536" s="148"/>
      <c r="J536" s="149"/>
    </row>
    <row r="537">
      <c r="B537" s="71"/>
      <c r="F537" s="71"/>
      <c r="I537" s="148"/>
      <c r="J537" s="149"/>
    </row>
    <row r="538">
      <c r="B538" s="71"/>
      <c r="F538" s="71"/>
      <c r="I538" s="148"/>
      <c r="J538" s="149"/>
    </row>
    <row r="539">
      <c r="B539" s="71"/>
      <c r="F539" s="71"/>
      <c r="I539" s="148"/>
      <c r="J539" s="149"/>
    </row>
    <row r="540">
      <c r="B540" s="71"/>
      <c r="F540" s="71"/>
      <c r="I540" s="148"/>
      <c r="J540" s="149"/>
    </row>
    <row r="541">
      <c r="B541" s="71"/>
      <c r="F541" s="71"/>
      <c r="I541" s="148"/>
      <c r="J541" s="149"/>
    </row>
    <row r="542">
      <c r="B542" s="71"/>
      <c r="F542" s="71"/>
      <c r="I542" s="148"/>
      <c r="J542" s="149"/>
    </row>
    <row r="543">
      <c r="B543" s="71"/>
      <c r="F543" s="71"/>
      <c r="I543" s="148"/>
      <c r="J543" s="149"/>
    </row>
    <row r="544">
      <c r="B544" s="71"/>
      <c r="F544" s="71"/>
      <c r="I544" s="148"/>
      <c r="J544" s="149"/>
    </row>
    <row r="545">
      <c r="B545" s="71"/>
      <c r="F545" s="71"/>
      <c r="I545" s="148"/>
      <c r="J545" s="149"/>
    </row>
    <row r="546">
      <c r="B546" s="71"/>
      <c r="F546" s="71"/>
      <c r="I546" s="148"/>
      <c r="J546" s="149"/>
    </row>
    <row r="547">
      <c r="B547" s="71"/>
      <c r="F547" s="71"/>
      <c r="I547" s="148"/>
      <c r="J547" s="149"/>
    </row>
    <row r="548">
      <c r="B548" s="71"/>
      <c r="F548" s="71"/>
      <c r="I548" s="148"/>
      <c r="J548" s="149"/>
    </row>
    <row r="549">
      <c r="B549" s="71"/>
      <c r="F549" s="71"/>
      <c r="I549" s="148"/>
      <c r="J549" s="149"/>
    </row>
    <row r="550">
      <c r="B550" s="71"/>
      <c r="F550" s="71"/>
      <c r="I550" s="148"/>
      <c r="J550" s="149"/>
    </row>
    <row r="551">
      <c r="B551" s="71"/>
      <c r="F551" s="71"/>
      <c r="I551" s="148"/>
      <c r="J551" s="149"/>
    </row>
    <row r="552">
      <c r="B552" s="71"/>
      <c r="F552" s="71"/>
      <c r="I552" s="148"/>
      <c r="J552" s="149"/>
    </row>
    <row r="553">
      <c r="B553" s="71"/>
      <c r="F553" s="71"/>
      <c r="I553" s="148"/>
      <c r="J553" s="149"/>
    </row>
    <row r="554">
      <c r="B554" s="71"/>
      <c r="F554" s="71"/>
      <c r="I554" s="148"/>
      <c r="J554" s="149"/>
    </row>
    <row r="555">
      <c r="B555" s="71"/>
      <c r="F555" s="71"/>
      <c r="I555" s="148"/>
      <c r="J555" s="149"/>
    </row>
    <row r="556">
      <c r="B556" s="71"/>
      <c r="F556" s="71"/>
      <c r="I556" s="148"/>
      <c r="J556" s="149"/>
    </row>
    <row r="557">
      <c r="B557" s="71"/>
      <c r="F557" s="71"/>
      <c r="I557" s="148"/>
      <c r="J557" s="149"/>
    </row>
    <row r="558">
      <c r="B558" s="71"/>
      <c r="F558" s="71"/>
      <c r="I558" s="148"/>
      <c r="J558" s="149"/>
    </row>
    <row r="559">
      <c r="B559" s="71"/>
      <c r="F559" s="71"/>
      <c r="I559" s="148"/>
      <c r="J559" s="149"/>
    </row>
    <row r="560">
      <c r="B560" s="71"/>
      <c r="F560" s="71"/>
      <c r="I560" s="148"/>
      <c r="J560" s="149"/>
    </row>
    <row r="561">
      <c r="B561" s="71"/>
      <c r="F561" s="71"/>
      <c r="I561" s="148"/>
      <c r="J561" s="149"/>
    </row>
    <row r="562">
      <c r="B562" s="71"/>
      <c r="F562" s="71"/>
      <c r="I562" s="148"/>
      <c r="J562" s="149"/>
    </row>
    <row r="563">
      <c r="B563" s="71"/>
      <c r="F563" s="71"/>
      <c r="I563" s="148"/>
      <c r="J563" s="149"/>
    </row>
    <row r="564">
      <c r="B564" s="71"/>
      <c r="F564" s="71"/>
      <c r="I564" s="148"/>
      <c r="J564" s="149"/>
    </row>
    <row r="565">
      <c r="B565" s="71"/>
      <c r="F565" s="71"/>
      <c r="I565" s="148"/>
      <c r="J565" s="149"/>
    </row>
    <row r="566">
      <c r="B566" s="71"/>
      <c r="F566" s="71"/>
      <c r="I566" s="148"/>
      <c r="J566" s="149"/>
    </row>
    <row r="567">
      <c r="B567" s="71"/>
      <c r="F567" s="71"/>
      <c r="I567" s="148"/>
      <c r="J567" s="149"/>
    </row>
    <row r="568">
      <c r="B568" s="71"/>
      <c r="F568" s="71"/>
      <c r="I568" s="148"/>
      <c r="J568" s="149"/>
    </row>
    <row r="569">
      <c r="B569" s="71"/>
      <c r="F569" s="71"/>
      <c r="I569" s="148"/>
      <c r="J569" s="149"/>
    </row>
    <row r="570">
      <c r="B570" s="71"/>
      <c r="F570" s="71"/>
      <c r="I570" s="148"/>
      <c r="J570" s="149"/>
    </row>
    <row r="571">
      <c r="B571" s="71"/>
      <c r="F571" s="71"/>
      <c r="I571" s="148"/>
      <c r="J571" s="149"/>
    </row>
    <row r="572">
      <c r="B572" s="71"/>
      <c r="F572" s="71"/>
      <c r="I572" s="148"/>
      <c r="J572" s="149"/>
    </row>
    <row r="573">
      <c r="B573" s="71"/>
      <c r="F573" s="71"/>
      <c r="I573" s="148"/>
      <c r="J573" s="149"/>
    </row>
    <row r="574">
      <c r="B574" s="71"/>
      <c r="F574" s="71"/>
      <c r="I574" s="148"/>
      <c r="J574" s="149"/>
    </row>
    <row r="575">
      <c r="B575" s="71"/>
      <c r="F575" s="71"/>
      <c r="I575" s="148"/>
      <c r="J575" s="149"/>
    </row>
    <row r="576">
      <c r="B576" s="71"/>
      <c r="F576" s="71"/>
      <c r="I576" s="148"/>
      <c r="J576" s="149"/>
    </row>
    <row r="577">
      <c r="B577" s="71"/>
      <c r="F577" s="71"/>
      <c r="I577" s="148"/>
      <c r="J577" s="149"/>
    </row>
    <row r="578">
      <c r="B578" s="71"/>
      <c r="F578" s="71"/>
      <c r="I578" s="148"/>
      <c r="J578" s="149"/>
    </row>
    <row r="579">
      <c r="B579" s="71"/>
      <c r="F579" s="71"/>
      <c r="I579" s="148"/>
      <c r="J579" s="149"/>
    </row>
    <row r="580">
      <c r="B580" s="71"/>
      <c r="F580" s="71"/>
      <c r="I580" s="148"/>
      <c r="J580" s="149"/>
    </row>
    <row r="581">
      <c r="B581" s="71"/>
      <c r="F581" s="71"/>
      <c r="I581" s="148"/>
      <c r="J581" s="149"/>
    </row>
    <row r="582">
      <c r="B582" s="71"/>
      <c r="F582" s="71"/>
      <c r="I582" s="148"/>
      <c r="J582" s="149"/>
    </row>
    <row r="583">
      <c r="B583" s="71"/>
      <c r="F583" s="71"/>
      <c r="I583" s="148"/>
      <c r="J583" s="149"/>
    </row>
    <row r="584">
      <c r="B584" s="71"/>
      <c r="F584" s="71"/>
      <c r="I584" s="148"/>
      <c r="J584" s="149"/>
    </row>
    <row r="585">
      <c r="B585" s="71"/>
      <c r="F585" s="71"/>
      <c r="I585" s="148"/>
      <c r="J585" s="149"/>
    </row>
    <row r="586">
      <c r="B586" s="71"/>
      <c r="F586" s="71"/>
      <c r="I586" s="148"/>
      <c r="J586" s="149"/>
    </row>
    <row r="587">
      <c r="B587" s="71"/>
      <c r="F587" s="71"/>
      <c r="I587" s="148"/>
      <c r="J587" s="149"/>
    </row>
    <row r="588">
      <c r="B588" s="71"/>
      <c r="F588" s="71"/>
      <c r="I588" s="148"/>
      <c r="J588" s="149"/>
    </row>
    <row r="589">
      <c r="B589" s="71"/>
      <c r="F589" s="71"/>
      <c r="I589" s="148"/>
      <c r="J589" s="149"/>
    </row>
    <row r="590">
      <c r="B590" s="71"/>
      <c r="F590" s="71"/>
      <c r="I590" s="148"/>
      <c r="J590" s="149"/>
    </row>
    <row r="591">
      <c r="B591" s="71"/>
      <c r="F591" s="71"/>
      <c r="I591" s="148"/>
      <c r="J591" s="149"/>
    </row>
    <row r="592">
      <c r="B592" s="71"/>
      <c r="F592" s="71"/>
      <c r="I592" s="148"/>
      <c r="J592" s="149"/>
    </row>
    <row r="593">
      <c r="B593" s="71"/>
      <c r="F593" s="71"/>
      <c r="I593" s="148"/>
      <c r="J593" s="149"/>
    </row>
    <row r="594">
      <c r="B594" s="71"/>
      <c r="F594" s="71"/>
      <c r="I594" s="148"/>
      <c r="J594" s="149"/>
    </row>
    <row r="595">
      <c r="B595" s="71"/>
      <c r="F595" s="71"/>
      <c r="I595" s="148"/>
      <c r="J595" s="149"/>
    </row>
    <row r="596">
      <c r="B596" s="71"/>
      <c r="F596" s="71"/>
      <c r="I596" s="148"/>
      <c r="J596" s="149"/>
    </row>
    <row r="597">
      <c r="B597" s="71"/>
      <c r="F597" s="71"/>
      <c r="I597" s="148"/>
      <c r="J597" s="149"/>
    </row>
    <row r="598">
      <c r="B598" s="71"/>
      <c r="F598" s="71"/>
      <c r="I598" s="148"/>
      <c r="J598" s="149"/>
    </row>
    <row r="599">
      <c r="B599" s="71"/>
      <c r="F599" s="71"/>
      <c r="I599" s="148"/>
      <c r="J599" s="149"/>
    </row>
    <row r="600">
      <c r="B600" s="71"/>
      <c r="F600" s="71"/>
      <c r="I600" s="148"/>
      <c r="J600" s="149"/>
    </row>
    <row r="601">
      <c r="B601" s="71"/>
      <c r="F601" s="71"/>
      <c r="I601" s="148"/>
      <c r="J601" s="149"/>
    </row>
    <row r="602">
      <c r="B602" s="71"/>
      <c r="F602" s="71"/>
      <c r="I602" s="148"/>
      <c r="J602" s="149"/>
    </row>
    <row r="603">
      <c r="B603" s="71"/>
      <c r="F603" s="71"/>
      <c r="I603" s="148"/>
      <c r="J603" s="149"/>
    </row>
    <row r="604">
      <c r="B604" s="71"/>
      <c r="F604" s="71"/>
      <c r="I604" s="148"/>
      <c r="J604" s="149"/>
    </row>
    <row r="605">
      <c r="B605" s="71"/>
      <c r="F605" s="71"/>
      <c r="I605" s="148"/>
      <c r="J605" s="149"/>
    </row>
    <row r="606">
      <c r="B606" s="71"/>
      <c r="F606" s="71"/>
      <c r="I606" s="148"/>
      <c r="J606" s="149"/>
    </row>
    <row r="607">
      <c r="B607" s="71"/>
      <c r="F607" s="71"/>
      <c r="I607" s="148"/>
      <c r="J607" s="149"/>
    </row>
    <row r="608">
      <c r="B608" s="71"/>
      <c r="F608" s="71"/>
      <c r="I608" s="148"/>
      <c r="J608" s="149"/>
    </row>
    <row r="609">
      <c r="B609" s="71"/>
      <c r="F609" s="71"/>
      <c r="I609" s="148"/>
      <c r="J609" s="149"/>
    </row>
    <row r="610">
      <c r="B610" s="71"/>
      <c r="F610" s="71"/>
      <c r="I610" s="148"/>
      <c r="J610" s="149"/>
    </row>
    <row r="611">
      <c r="B611" s="71"/>
      <c r="F611" s="71"/>
      <c r="I611" s="148"/>
      <c r="J611" s="149"/>
    </row>
    <row r="612">
      <c r="B612" s="71"/>
      <c r="F612" s="71"/>
      <c r="I612" s="148"/>
      <c r="J612" s="149"/>
    </row>
    <row r="613">
      <c r="B613" s="71"/>
      <c r="F613" s="71"/>
      <c r="I613" s="148"/>
      <c r="J613" s="149"/>
    </row>
    <row r="614">
      <c r="B614" s="71"/>
      <c r="F614" s="71"/>
      <c r="I614" s="148"/>
      <c r="J614" s="149"/>
    </row>
    <row r="615">
      <c r="B615" s="71"/>
      <c r="F615" s="71"/>
      <c r="I615" s="148"/>
      <c r="J615" s="149"/>
    </row>
    <row r="616">
      <c r="B616" s="71"/>
      <c r="F616" s="71"/>
      <c r="I616" s="148"/>
      <c r="J616" s="149"/>
    </row>
    <row r="617">
      <c r="B617" s="71"/>
      <c r="F617" s="71"/>
      <c r="I617" s="148"/>
      <c r="J617" s="149"/>
    </row>
    <row r="618">
      <c r="B618" s="71"/>
      <c r="F618" s="71"/>
      <c r="I618" s="148"/>
      <c r="J618" s="149"/>
    </row>
    <row r="619">
      <c r="B619" s="71"/>
      <c r="F619" s="71"/>
      <c r="I619" s="148"/>
      <c r="J619" s="149"/>
    </row>
    <row r="620">
      <c r="B620" s="71"/>
      <c r="F620" s="71"/>
      <c r="I620" s="148"/>
      <c r="J620" s="149"/>
    </row>
    <row r="621">
      <c r="B621" s="71"/>
      <c r="F621" s="71"/>
      <c r="I621" s="148"/>
      <c r="J621" s="149"/>
    </row>
    <row r="622">
      <c r="B622" s="71"/>
      <c r="F622" s="71"/>
      <c r="I622" s="148"/>
      <c r="J622" s="149"/>
    </row>
    <row r="623">
      <c r="B623" s="71"/>
      <c r="F623" s="71"/>
      <c r="I623" s="148"/>
      <c r="J623" s="149"/>
    </row>
    <row r="624">
      <c r="B624" s="71"/>
      <c r="F624" s="71"/>
      <c r="I624" s="148"/>
      <c r="J624" s="149"/>
    </row>
    <row r="625">
      <c r="B625" s="71"/>
      <c r="F625" s="71"/>
      <c r="I625" s="148"/>
      <c r="J625" s="149"/>
    </row>
    <row r="626">
      <c r="B626" s="71"/>
      <c r="F626" s="71"/>
      <c r="I626" s="148"/>
      <c r="J626" s="149"/>
    </row>
    <row r="627">
      <c r="B627" s="71"/>
      <c r="F627" s="71"/>
      <c r="I627" s="148"/>
      <c r="J627" s="149"/>
    </row>
    <row r="628">
      <c r="B628" s="71"/>
      <c r="F628" s="71"/>
      <c r="I628" s="148"/>
      <c r="J628" s="149"/>
    </row>
    <row r="629">
      <c r="B629" s="71"/>
      <c r="F629" s="71"/>
      <c r="I629" s="148"/>
      <c r="J629" s="149"/>
    </row>
    <row r="630">
      <c r="B630" s="71"/>
      <c r="F630" s="71"/>
      <c r="I630" s="148"/>
      <c r="J630" s="149"/>
    </row>
    <row r="631">
      <c r="B631" s="71"/>
      <c r="F631" s="71"/>
      <c r="I631" s="148"/>
      <c r="J631" s="149"/>
    </row>
    <row r="632">
      <c r="B632" s="71"/>
      <c r="F632" s="71"/>
      <c r="I632" s="148"/>
      <c r="J632" s="149"/>
    </row>
    <row r="633">
      <c r="B633" s="71"/>
      <c r="F633" s="71"/>
      <c r="I633" s="148"/>
      <c r="J633" s="149"/>
    </row>
    <row r="634">
      <c r="B634" s="71"/>
      <c r="F634" s="71"/>
      <c r="I634" s="148"/>
      <c r="J634" s="149"/>
    </row>
    <row r="635">
      <c r="B635" s="71"/>
      <c r="F635" s="71"/>
      <c r="I635" s="148"/>
      <c r="J635" s="149"/>
    </row>
    <row r="636">
      <c r="B636" s="71"/>
      <c r="F636" s="71"/>
      <c r="I636" s="148"/>
      <c r="J636" s="149"/>
    </row>
    <row r="637">
      <c r="B637" s="71"/>
      <c r="F637" s="71"/>
      <c r="I637" s="148"/>
      <c r="J637" s="149"/>
    </row>
    <row r="638">
      <c r="B638" s="71"/>
      <c r="F638" s="71"/>
      <c r="I638" s="148"/>
      <c r="J638" s="149"/>
    </row>
    <row r="639">
      <c r="B639" s="71"/>
      <c r="F639" s="71"/>
      <c r="I639" s="148"/>
      <c r="J639" s="149"/>
    </row>
    <row r="640">
      <c r="B640" s="71"/>
      <c r="F640" s="71"/>
      <c r="I640" s="148"/>
      <c r="J640" s="149"/>
    </row>
    <row r="641">
      <c r="B641" s="71"/>
      <c r="F641" s="71"/>
      <c r="I641" s="148"/>
      <c r="J641" s="149"/>
    </row>
    <row r="642">
      <c r="B642" s="71"/>
      <c r="F642" s="71"/>
      <c r="I642" s="148"/>
      <c r="J642" s="149"/>
    </row>
    <row r="643">
      <c r="B643" s="71"/>
      <c r="F643" s="71"/>
      <c r="I643" s="148"/>
      <c r="J643" s="149"/>
    </row>
    <row r="644">
      <c r="B644" s="71"/>
      <c r="F644" s="71"/>
      <c r="I644" s="148"/>
      <c r="J644" s="149"/>
    </row>
    <row r="645">
      <c r="B645" s="71"/>
      <c r="F645" s="71"/>
      <c r="I645" s="148"/>
      <c r="J645" s="149"/>
    </row>
    <row r="646">
      <c r="B646" s="71"/>
      <c r="F646" s="71"/>
      <c r="I646" s="148"/>
      <c r="J646" s="149"/>
    </row>
    <row r="647">
      <c r="B647" s="71"/>
      <c r="F647" s="71"/>
      <c r="I647" s="148"/>
      <c r="J647" s="149"/>
    </row>
    <row r="648">
      <c r="B648" s="71"/>
      <c r="F648" s="71"/>
      <c r="I648" s="148"/>
      <c r="J648" s="149"/>
    </row>
    <row r="649">
      <c r="B649" s="71"/>
      <c r="F649" s="71"/>
      <c r="I649" s="148"/>
      <c r="J649" s="149"/>
    </row>
    <row r="650">
      <c r="B650" s="71"/>
      <c r="F650" s="71"/>
      <c r="I650" s="148"/>
      <c r="J650" s="149"/>
    </row>
    <row r="651">
      <c r="B651" s="71"/>
      <c r="F651" s="71"/>
      <c r="I651" s="148"/>
      <c r="J651" s="149"/>
    </row>
    <row r="652">
      <c r="B652" s="71"/>
      <c r="F652" s="71"/>
      <c r="I652" s="148"/>
      <c r="J652" s="149"/>
    </row>
    <row r="653">
      <c r="B653" s="71"/>
      <c r="F653" s="71"/>
      <c r="I653" s="148"/>
      <c r="J653" s="149"/>
    </row>
    <row r="654">
      <c r="B654" s="71"/>
      <c r="F654" s="71"/>
      <c r="I654" s="148"/>
      <c r="J654" s="149"/>
    </row>
    <row r="655">
      <c r="B655" s="71"/>
      <c r="F655" s="71"/>
      <c r="I655" s="148"/>
      <c r="J655" s="149"/>
    </row>
    <row r="656">
      <c r="B656" s="71"/>
      <c r="F656" s="71"/>
      <c r="I656" s="148"/>
      <c r="J656" s="149"/>
    </row>
    <row r="657">
      <c r="B657" s="71"/>
      <c r="F657" s="71"/>
      <c r="I657" s="148"/>
      <c r="J657" s="149"/>
    </row>
    <row r="658">
      <c r="B658" s="71"/>
      <c r="F658" s="71"/>
      <c r="I658" s="148"/>
      <c r="J658" s="149"/>
    </row>
    <row r="659">
      <c r="B659" s="71"/>
      <c r="F659" s="71"/>
      <c r="I659" s="148"/>
      <c r="J659" s="149"/>
    </row>
    <row r="660">
      <c r="B660" s="71"/>
      <c r="F660" s="71"/>
      <c r="I660" s="148"/>
      <c r="J660" s="149"/>
    </row>
    <row r="661">
      <c r="B661" s="71"/>
      <c r="F661" s="71"/>
      <c r="I661" s="148"/>
      <c r="J661" s="149"/>
    </row>
    <row r="662">
      <c r="B662" s="71"/>
      <c r="F662" s="71"/>
      <c r="I662" s="148"/>
      <c r="J662" s="149"/>
    </row>
    <row r="663">
      <c r="B663" s="71"/>
      <c r="F663" s="71"/>
      <c r="I663" s="148"/>
      <c r="J663" s="149"/>
    </row>
    <row r="664">
      <c r="B664" s="71"/>
      <c r="F664" s="71"/>
      <c r="I664" s="148"/>
      <c r="J664" s="149"/>
    </row>
    <row r="665">
      <c r="B665" s="71"/>
      <c r="F665" s="71"/>
      <c r="I665" s="148"/>
      <c r="J665" s="149"/>
    </row>
    <row r="666">
      <c r="B666" s="71"/>
      <c r="F666" s="71"/>
      <c r="I666" s="148"/>
      <c r="J666" s="149"/>
    </row>
    <row r="667">
      <c r="B667" s="71"/>
      <c r="F667" s="71"/>
      <c r="I667" s="148"/>
      <c r="J667" s="149"/>
    </row>
    <row r="668">
      <c r="B668" s="71"/>
      <c r="F668" s="71"/>
      <c r="I668" s="148"/>
      <c r="J668" s="149"/>
    </row>
    <row r="669">
      <c r="B669" s="71"/>
      <c r="F669" s="71"/>
      <c r="I669" s="148"/>
      <c r="J669" s="149"/>
    </row>
    <row r="670">
      <c r="B670" s="71"/>
      <c r="F670" s="71"/>
      <c r="I670" s="148"/>
      <c r="J670" s="149"/>
    </row>
    <row r="671">
      <c r="B671" s="71"/>
      <c r="F671" s="71"/>
      <c r="I671" s="148"/>
      <c r="J671" s="149"/>
    </row>
    <row r="672">
      <c r="B672" s="71"/>
      <c r="F672" s="71"/>
      <c r="I672" s="148"/>
      <c r="J672" s="149"/>
    </row>
    <row r="673">
      <c r="B673" s="71"/>
      <c r="F673" s="71"/>
      <c r="I673" s="148"/>
      <c r="J673" s="149"/>
    </row>
    <row r="674">
      <c r="B674" s="71"/>
      <c r="F674" s="71"/>
      <c r="I674" s="148"/>
      <c r="J674" s="149"/>
    </row>
    <row r="675">
      <c r="B675" s="71"/>
      <c r="F675" s="71"/>
      <c r="I675" s="148"/>
      <c r="J675" s="149"/>
    </row>
    <row r="676">
      <c r="B676" s="71"/>
      <c r="F676" s="71"/>
      <c r="I676" s="148"/>
      <c r="J676" s="149"/>
    </row>
    <row r="677">
      <c r="B677" s="71"/>
      <c r="F677" s="71"/>
      <c r="I677" s="148"/>
      <c r="J677" s="149"/>
    </row>
    <row r="678">
      <c r="B678" s="71"/>
      <c r="F678" s="71"/>
      <c r="I678" s="148"/>
      <c r="J678" s="149"/>
    </row>
    <row r="679">
      <c r="B679" s="71"/>
      <c r="F679" s="71"/>
      <c r="I679" s="148"/>
      <c r="J679" s="149"/>
    </row>
    <row r="680">
      <c r="B680" s="71"/>
      <c r="F680" s="71"/>
      <c r="I680" s="148"/>
      <c r="J680" s="149"/>
    </row>
    <row r="681">
      <c r="B681" s="71"/>
      <c r="F681" s="71"/>
      <c r="I681" s="148"/>
      <c r="J681" s="149"/>
    </row>
    <row r="682">
      <c r="B682" s="71"/>
      <c r="F682" s="71"/>
      <c r="I682" s="148"/>
      <c r="J682" s="149"/>
    </row>
    <row r="683">
      <c r="B683" s="71"/>
      <c r="F683" s="71"/>
      <c r="I683" s="148"/>
      <c r="J683" s="149"/>
    </row>
    <row r="684">
      <c r="B684" s="71"/>
      <c r="F684" s="71"/>
      <c r="I684" s="148"/>
      <c r="J684" s="149"/>
    </row>
    <row r="685">
      <c r="B685" s="71"/>
      <c r="F685" s="71"/>
      <c r="I685" s="148"/>
      <c r="J685" s="149"/>
    </row>
    <row r="686">
      <c r="B686" s="71"/>
      <c r="F686" s="71"/>
      <c r="I686" s="148"/>
      <c r="J686" s="149"/>
    </row>
    <row r="687">
      <c r="B687" s="71"/>
      <c r="F687" s="71"/>
      <c r="I687" s="148"/>
      <c r="J687" s="149"/>
    </row>
    <row r="688">
      <c r="B688" s="71"/>
      <c r="F688" s="71"/>
      <c r="I688" s="148"/>
      <c r="J688" s="149"/>
    </row>
    <row r="689">
      <c r="B689" s="71"/>
      <c r="F689" s="71"/>
      <c r="I689" s="148"/>
      <c r="J689" s="149"/>
    </row>
    <row r="690">
      <c r="B690" s="71"/>
      <c r="F690" s="71"/>
      <c r="I690" s="148"/>
      <c r="J690" s="149"/>
    </row>
    <row r="691">
      <c r="B691" s="71"/>
      <c r="F691" s="71"/>
      <c r="I691" s="148"/>
      <c r="J691" s="149"/>
    </row>
    <row r="692">
      <c r="B692" s="71"/>
      <c r="F692" s="71"/>
      <c r="I692" s="148"/>
      <c r="J692" s="149"/>
    </row>
    <row r="693">
      <c r="B693" s="71"/>
      <c r="F693" s="71"/>
      <c r="I693" s="148"/>
      <c r="J693" s="149"/>
    </row>
    <row r="694">
      <c r="B694" s="71"/>
      <c r="F694" s="71"/>
      <c r="I694" s="148"/>
      <c r="J694" s="149"/>
    </row>
    <row r="695">
      <c r="B695" s="71"/>
      <c r="F695" s="71"/>
      <c r="I695" s="148"/>
      <c r="J695" s="149"/>
    </row>
    <row r="696">
      <c r="B696" s="71"/>
      <c r="F696" s="71"/>
      <c r="I696" s="148"/>
      <c r="J696" s="149"/>
    </row>
    <row r="697">
      <c r="B697" s="71"/>
      <c r="F697" s="71"/>
      <c r="I697" s="148"/>
      <c r="J697" s="149"/>
    </row>
    <row r="698">
      <c r="B698" s="71"/>
      <c r="F698" s="71"/>
      <c r="I698" s="148"/>
      <c r="J698" s="149"/>
    </row>
    <row r="699">
      <c r="B699" s="71"/>
      <c r="F699" s="71"/>
      <c r="I699" s="148"/>
      <c r="J699" s="149"/>
    </row>
    <row r="700">
      <c r="B700" s="71"/>
      <c r="F700" s="71"/>
      <c r="I700" s="148"/>
      <c r="J700" s="149"/>
    </row>
    <row r="701">
      <c r="B701" s="71"/>
      <c r="F701" s="71"/>
      <c r="I701" s="148"/>
      <c r="J701" s="149"/>
    </row>
    <row r="702">
      <c r="B702" s="71"/>
      <c r="F702" s="71"/>
      <c r="I702" s="148"/>
      <c r="J702" s="149"/>
    </row>
    <row r="703">
      <c r="B703" s="71"/>
      <c r="F703" s="71"/>
      <c r="I703" s="148"/>
      <c r="J703" s="149"/>
    </row>
    <row r="704">
      <c r="B704" s="71"/>
      <c r="F704" s="71"/>
      <c r="I704" s="148"/>
      <c r="J704" s="149"/>
    </row>
    <row r="705">
      <c r="B705" s="71"/>
      <c r="F705" s="71"/>
      <c r="I705" s="148"/>
      <c r="J705" s="149"/>
    </row>
    <row r="706">
      <c r="B706" s="71"/>
      <c r="F706" s="71"/>
      <c r="I706" s="148"/>
      <c r="J706" s="149"/>
    </row>
    <row r="707">
      <c r="B707" s="71"/>
      <c r="F707" s="71"/>
      <c r="I707" s="148"/>
      <c r="J707" s="149"/>
    </row>
    <row r="708">
      <c r="B708" s="71"/>
      <c r="F708" s="71"/>
      <c r="I708" s="148"/>
      <c r="J708" s="149"/>
    </row>
    <row r="709">
      <c r="B709" s="71"/>
      <c r="F709" s="71"/>
      <c r="I709" s="148"/>
      <c r="J709" s="149"/>
    </row>
    <row r="710">
      <c r="B710" s="71"/>
      <c r="F710" s="71"/>
      <c r="I710" s="148"/>
      <c r="J710" s="149"/>
    </row>
    <row r="711">
      <c r="B711" s="71"/>
      <c r="F711" s="71"/>
      <c r="I711" s="148"/>
      <c r="J711" s="149"/>
    </row>
    <row r="712">
      <c r="B712" s="71"/>
      <c r="F712" s="71"/>
      <c r="I712" s="148"/>
      <c r="J712" s="149"/>
    </row>
    <row r="713">
      <c r="B713" s="71"/>
      <c r="F713" s="71"/>
      <c r="I713" s="148"/>
      <c r="J713" s="149"/>
    </row>
    <row r="714">
      <c r="B714" s="71"/>
      <c r="F714" s="71"/>
      <c r="I714" s="148"/>
      <c r="J714" s="149"/>
    </row>
    <row r="715">
      <c r="B715" s="71"/>
      <c r="F715" s="71"/>
      <c r="I715" s="148"/>
      <c r="J715" s="149"/>
    </row>
    <row r="716">
      <c r="B716" s="71"/>
      <c r="F716" s="71"/>
      <c r="I716" s="148"/>
      <c r="J716" s="149"/>
    </row>
    <row r="717">
      <c r="B717" s="71"/>
      <c r="F717" s="71"/>
      <c r="I717" s="148"/>
      <c r="J717" s="149"/>
    </row>
    <row r="718">
      <c r="B718" s="71"/>
      <c r="F718" s="71"/>
      <c r="I718" s="148"/>
      <c r="J718" s="149"/>
    </row>
    <row r="719">
      <c r="B719" s="71"/>
      <c r="F719" s="71"/>
      <c r="I719" s="148"/>
      <c r="J719" s="149"/>
    </row>
    <row r="720">
      <c r="B720" s="71"/>
      <c r="F720" s="71"/>
      <c r="I720" s="148"/>
      <c r="J720" s="149"/>
    </row>
    <row r="721">
      <c r="B721" s="71"/>
      <c r="F721" s="71"/>
      <c r="I721" s="148"/>
      <c r="J721" s="149"/>
    </row>
    <row r="722">
      <c r="B722" s="71"/>
      <c r="F722" s="71"/>
      <c r="I722" s="148"/>
      <c r="J722" s="149"/>
    </row>
    <row r="723">
      <c r="B723" s="71"/>
      <c r="F723" s="71"/>
      <c r="I723" s="148"/>
      <c r="J723" s="149"/>
    </row>
    <row r="724">
      <c r="B724" s="71"/>
      <c r="F724" s="71"/>
      <c r="I724" s="148"/>
      <c r="J724" s="149"/>
    </row>
    <row r="725">
      <c r="B725" s="71"/>
      <c r="F725" s="71"/>
      <c r="I725" s="148"/>
      <c r="J725" s="149"/>
    </row>
    <row r="726">
      <c r="B726" s="71"/>
      <c r="F726" s="71"/>
      <c r="I726" s="148"/>
      <c r="J726" s="149"/>
    </row>
    <row r="727">
      <c r="B727" s="71"/>
      <c r="F727" s="71"/>
      <c r="I727" s="148"/>
      <c r="J727" s="149"/>
    </row>
    <row r="728">
      <c r="B728" s="71"/>
      <c r="F728" s="71"/>
      <c r="I728" s="148"/>
      <c r="J728" s="149"/>
    </row>
    <row r="729">
      <c r="B729" s="71"/>
      <c r="F729" s="71"/>
      <c r="I729" s="148"/>
      <c r="J729" s="149"/>
    </row>
    <row r="730">
      <c r="B730" s="71"/>
      <c r="F730" s="71"/>
      <c r="I730" s="148"/>
      <c r="J730" s="149"/>
    </row>
    <row r="731">
      <c r="B731" s="71"/>
      <c r="F731" s="71"/>
      <c r="I731" s="148"/>
      <c r="J731" s="149"/>
    </row>
    <row r="732">
      <c r="B732" s="71"/>
      <c r="F732" s="71"/>
      <c r="I732" s="148"/>
      <c r="J732" s="149"/>
    </row>
    <row r="733">
      <c r="B733" s="71"/>
      <c r="F733" s="71"/>
      <c r="I733" s="148"/>
      <c r="J733" s="149"/>
    </row>
    <row r="734">
      <c r="B734" s="71"/>
      <c r="F734" s="71"/>
      <c r="I734" s="148"/>
      <c r="J734" s="149"/>
    </row>
    <row r="735">
      <c r="B735" s="71"/>
      <c r="F735" s="71"/>
      <c r="I735" s="148"/>
      <c r="J735" s="149"/>
    </row>
    <row r="736">
      <c r="B736" s="71"/>
      <c r="F736" s="71"/>
      <c r="I736" s="148"/>
      <c r="J736" s="149"/>
    </row>
    <row r="737">
      <c r="B737" s="71"/>
      <c r="F737" s="71"/>
      <c r="I737" s="148"/>
      <c r="J737" s="149"/>
    </row>
    <row r="738">
      <c r="B738" s="71"/>
      <c r="F738" s="71"/>
      <c r="I738" s="148"/>
      <c r="J738" s="149"/>
    </row>
    <row r="739">
      <c r="B739" s="71"/>
      <c r="F739" s="71"/>
      <c r="I739" s="148"/>
      <c r="J739" s="149"/>
    </row>
    <row r="740">
      <c r="B740" s="71"/>
      <c r="F740" s="71"/>
      <c r="I740" s="148"/>
      <c r="J740" s="149"/>
    </row>
    <row r="741">
      <c r="B741" s="71"/>
      <c r="F741" s="71"/>
      <c r="I741" s="148"/>
      <c r="J741" s="149"/>
    </row>
    <row r="742">
      <c r="B742" s="71"/>
      <c r="F742" s="71"/>
      <c r="I742" s="148"/>
      <c r="J742" s="149"/>
    </row>
    <row r="743">
      <c r="B743" s="71"/>
      <c r="F743" s="71"/>
      <c r="I743" s="148"/>
      <c r="J743" s="149"/>
    </row>
    <row r="744">
      <c r="B744" s="71"/>
      <c r="F744" s="71"/>
      <c r="I744" s="148"/>
      <c r="J744" s="149"/>
    </row>
    <row r="745">
      <c r="B745" s="71"/>
      <c r="F745" s="71"/>
      <c r="I745" s="148"/>
      <c r="J745" s="149"/>
    </row>
    <row r="746">
      <c r="B746" s="71"/>
      <c r="F746" s="71"/>
      <c r="I746" s="148"/>
      <c r="J746" s="149"/>
    </row>
    <row r="747">
      <c r="B747" s="71"/>
      <c r="F747" s="71"/>
      <c r="I747" s="148"/>
      <c r="J747" s="149"/>
    </row>
    <row r="748">
      <c r="B748" s="71"/>
      <c r="F748" s="71"/>
      <c r="I748" s="148"/>
      <c r="J748" s="149"/>
    </row>
    <row r="749">
      <c r="B749" s="71"/>
      <c r="F749" s="71"/>
      <c r="I749" s="148"/>
      <c r="J749" s="149"/>
    </row>
    <row r="750">
      <c r="B750" s="71"/>
      <c r="F750" s="71"/>
      <c r="I750" s="148"/>
      <c r="J750" s="149"/>
    </row>
    <row r="751">
      <c r="B751" s="71"/>
      <c r="F751" s="71"/>
      <c r="I751" s="148"/>
      <c r="J751" s="149"/>
    </row>
    <row r="752">
      <c r="B752" s="71"/>
      <c r="F752" s="71"/>
      <c r="I752" s="148"/>
      <c r="J752" s="149"/>
    </row>
    <row r="753">
      <c r="B753" s="71"/>
      <c r="F753" s="71"/>
      <c r="I753" s="148"/>
      <c r="J753" s="149"/>
    </row>
    <row r="754">
      <c r="B754" s="71"/>
      <c r="F754" s="71"/>
      <c r="I754" s="148"/>
      <c r="J754" s="149"/>
    </row>
    <row r="755">
      <c r="B755" s="71"/>
      <c r="F755" s="71"/>
      <c r="I755" s="148"/>
      <c r="J755" s="149"/>
    </row>
    <row r="756">
      <c r="B756" s="71"/>
      <c r="F756" s="71"/>
      <c r="I756" s="148"/>
      <c r="J756" s="149"/>
    </row>
    <row r="757">
      <c r="B757" s="71"/>
      <c r="F757" s="71"/>
      <c r="I757" s="148"/>
      <c r="J757" s="149"/>
    </row>
    <row r="758">
      <c r="B758" s="71"/>
      <c r="F758" s="71"/>
      <c r="I758" s="148"/>
      <c r="J758" s="149"/>
    </row>
    <row r="759">
      <c r="B759" s="71"/>
      <c r="F759" s="71"/>
      <c r="I759" s="148"/>
      <c r="J759" s="149"/>
    </row>
    <row r="760">
      <c r="B760" s="71"/>
      <c r="F760" s="71"/>
      <c r="I760" s="148"/>
      <c r="J760" s="149"/>
    </row>
    <row r="761">
      <c r="B761" s="71"/>
      <c r="F761" s="71"/>
      <c r="I761" s="148"/>
      <c r="J761" s="149"/>
    </row>
    <row r="762">
      <c r="B762" s="71"/>
      <c r="F762" s="71"/>
      <c r="I762" s="148"/>
      <c r="J762" s="149"/>
    </row>
    <row r="763">
      <c r="B763" s="71"/>
      <c r="F763" s="71"/>
      <c r="I763" s="148"/>
      <c r="J763" s="149"/>
    </row>
    <row r="764">
      <c r="B764" s="71"/>
      <c r="F764" s="71"/>
      <c r="I764" s="148"/>
      <c r="J764" s="149"/>
    </row>
    <row r="765">
      <c r="B765" s="71"/>
      <c r="F765" s="71"/>
      <c r="I765" s="148"/>
      <c r="J765" s="149"/>
    </row>
    <row r="766">
      <c r="B766" s="71"/>
      <c r="F766" s="71"/>
      <c r="I766" s="148"/>
      <c r="J766" s="149"/>
    </row>
    <row r="767">
      <c r="B767" s="71"/>
      <c r="F767" s="71"/>
      <c r="I767" s="148"/>
      <c r="J767" s="149"/>
    </row>
    <row r="768">
      <c r="B768" s="71"/>
      <c r="F768" s="71"/>
      <c r="I768" s="148"/>
      <c r="J768" s="149"/>
    </row>
    <row r="769">
      <c r="B769" s="71"/>
      <c r="F769" s="71"/>
      <c r="I769" s="148"/>
      <c r="J769" s="149"/>
    </row>
    <row r="770">
      <c r="B770" s="71"/>
      <c r="F770" s="71"/>
      <c r="I770" s="148"/>
      <c r="J770" s="149"/>
    </row>
    <row r="771">
      <c r="B771" s="71"/>
      <c r="F771" s="71"/>
      <c r="I771" s="148"/>
      <c r="J771" s="149"/>
    </row>
    <row r="772">
      <c r="B772" s="71"/>
      <c r="F772" s="71"/>
      <c r="I772" s="148"/>
      <c r="J772" s="149"/>
    </row>
    <row r="773">
      <c r="B773" s="71"/>
      <c r="F773" s="71"/>
      <c r="I773" s="148"/>
      <c r="J773" s="149"/>
    </row>
    <row r="774">
      <c r="B774" s="71"/>
      <c r="F774" s="71"/>
      <c r="I774" s="148"/>
      <c r="J774" s="149"/>
    </row>
    <row r="775">
      <c r="B775" s="71"/>
      <c r="F775" s="71"/>
      <c r="I775" s="148"/>
      <c r="J775" s="149"/>
    </row>
    <row r="776">
      <c r="B776" s="71"/>
      <c r="F776" s="71"/>
      <c r="I776" s="148"/>
      <c r="J776" s="149"/>
    </row>
    <row r="777">
      <c r="B777" s="71"/>
      <c r="F777" s="71"/>
      <c r="I777" s="148"/>
      <c r="J777" s="149"/>
    </row>
    <row r="778">
      <c r="B778" s="71"/>
      <c r="F778" s="71"/>
      <c r="I778" s="148"/>
      <c r="J778" s="149"/>
    </row>
    <row r="779">
      <c r="B779" s="71"/>
      <c r="F779" s="71"/>
      <c r="I779" s="148"/>
      <c r="J779" s="149"/>
    </row>
    <row r="780">
      <c r="B780" s="71"/>
      <c r="F780" s="71"/>
      <c r="I780" s="148"/>
      <c r="J780" s="149"/>
    </row>
    <row r="781">
      <c r="B781" s="71"/>
      <c r="F781" s="71"/>
      <c r="I781" s="148"/>
      <c r="J781" s="149"/>
    </row>
    <row r="782">
      <c r="B782" s="71"/>
      <c r="F782" s="71"/>
      <c r="I782" s="148"/>
      <c r="J782" s="149"/>
    </row>
    <row r="783">
      <c r="B783" s="71"/>
      <c r="F783" s="71"/>
      <c r="I783" s="148"/>
      <c r="J783" s="149"/>
    </row>
    <row r="784">
      <c r="B784" s="71"/>
      <c r="F784" s="71"/>
      <c r="I784" s="148"/>
      <c r="J784" s="149"/>
    </row>
    <row r="785">
      <c r="B785" s="71"/>
      <c r="F785" s="71"/>
      <c r="I785" s="148"/>
      <c r="J785" s="149"/>
    </row>
    <row r="786">
      <c r="B786" s="71"/>
      <c r="F786" s="71"/>
      <c r="I786" s="148"/>
      <c r="J786" s="149"/>
    </row>
    <row r="787">
      <c r="B787" s="71"/>
      <c r="F787" s="71"/>
      <c r="I787" s="148"/>
      <c r="J787" s="149"/>
    </row>
    <row r="788">
      <c r="B788" s="71"/>
      <c r="F788" s="71"/>
      <c r="I788" s="148"/>
      <c r="J788" s="149"/>
    </row>
    <row r="789">
      <c r="B789" s="71"/>
      <c r="F789" s="71"/>
      <c r="I789" s="148"/>
      <c r="J789" s="149"/>
    </row>
    <row r="790">
      <c r="B790" s="71"/>
      <c r="F790" s="71"/>
      <c r="I790" s="148"/>
      <c r="J790" s="149"/>
    </row>
    <row r="791">
      <c r="B791" s="71"/>
      <c r="F791" s="71"/>
      <c r="I791" s="148"/>
      <c r="J791" s="149"/>
    </row>
    <row r="792">
      <c r="B792" s="71"/>
      <c r="F792" s="71"/>
      <c r="I792" s="148"/>
      <c r="J792" s="149"/>
    </row>
    <row r="793">
      <c r="B793" s="71"/>
      <c r="F793" s="71"/>
      <c r="I793" s="148"/>
      <c r="J793" s="149"/>
    </row>
    <row r="794">
      <c r="B794" s="71"/>
      <c r="F794" s="71"/>
      <c r="I794" s="148"/>
      <c r="J794" s="149"/>
    </row>
    <row r="795">
      <c r="B795" s="71"/>
      <c r="F795" s="71"/>
      <c r="I795" s="148"/>
      <c r="J795" s="149"/>
    </row>
    <row r="796">
      <c r="B796" s="71"/>
      <c r="F796" s="71"/>
      <c r="I796" s="148"/>
      <c r="J796" s="149"/>
    </row>
    <row r="797">
      <c r="B797" s="71"/>
      <c r="F797" s="71"/>
      <c r="I797" s="148"/>
      <c r="J797" s="149"/>
    </row>
    <row r="798">
      <c r="B798" s="71"/>
      <c r="F798" s="71"/>
      <c r="I798" s="148"/>
      <c r="J798" s="149"/>
    </row>
    <row r="799">
      <c r="B799" s="71"/>
      <c r="F799" s="71"/>
      <c r="I799" s="148"/>
      <c r="J799" s="149"/>
    </row>
    <row r="800">
      <c r="B800" s="71"/>
      <c r="F800" s="71"/>
      <c r="I800" s="148"/>
      <c r="J800" s="149"/>
    </row>
    <row r="801">
      <c r="B801" s="71"/>
      <c r="F801" s="71"/>
      <c r="I801" s="148"/>
      <c r="J801" s="149"/>
    </row>
    <row r="802">
      <c r="B802" s="71"/>
      <c r="F802" s="71"/>
      <c r="I802" s="148"/>
      <c r="J802" s="149"/>
    </row>
    <row r="803">
      <c r="B803" s="71"/>
      <c r="F803" s="71"/>
      <c r="I803" s="148"/>
      <c r="J803" s="149"/>
    </row>
    <row r="804">
      <c r="B804" s="71"/>
      <c r="F804" s="71"/>
      <c r="I804" s="148"/>
      <c r="J804" s="149"/>
    </row>
    <row r="805">
      <c r="B805" s="71"/>
      <c r="F805" s="71"/>
      <c r="I805" s="148"/>
      <c r="J805" s="149"/>
    </row>
    <row r="806">
      <c r="B806" s="71"/>
      <c r="F806" s="71"/>
      <c r="I806" s="148"/>
      <c r="J806" s="149"/>
    </row>
    <row r="807">
      <c r="B807" s="71"/>
      <c r="F807" s="71"/>
      <c r="I807" s="148"/>
      <c r="J807" s="149"/>
    </row>
    <row r="808">
      <c r="B808" s="71"/>
      <c r="F808" s="71"/>
      <c r="I808" s="148"/>
      <c r="J808" s="149"/>
    </row>
    <row r="809">
      <c r="B809" s="71"/>
      <c r="F809" s="71"/>
      <c r="I809" s="148"/>
      <c r="J809" s="149"/>
    </row>
    <row r="810">
      <c r="B810" s="71"/>
      <c r="F810" s="71"/>
      <c r="I810" s="148"/>
      <c r="J810" s="149"/>
    </row>
    <row r="811">
      <c r="B811" s="71"/>
      <c r="F811" s="71"/>
      <c r="I811" s="148"/>
      <c r="J811" s="149"/>
    </row>
    <row r="812">
      <c r="B812" s="71"/>
      <c r="F812" s="71"/>
      <c r="I812" s="148"/>
      <c r="J812" s="149"/>
    </row>
    <row r="813">
      <c r="B813" s="71"/>
      <c r="F813" s="71"/>
      <c r="I813" s="148"/>
      <c r="J813" s="149"/>
    </row>
    <row r="814">
      <c r="B814" s="71"/>
      <c r="F814" s="71"/>
      <c r="I814" s="148"/>
      <c r="J814" s="149"/>
    </row>
    <row r="815">
      <c r="B815" s="71"/>
      <c r="F815" s="71"/>
      <c r="I815" s="148"/>
      <c r="J815" s="149"/>
    </row>
    <row r="816">
      <c r="B816" s="71"/>
      <c r="F816" s="71"/>
      <c r="I816" s="148"/>
      <c r="J816" s="149"/>
    </row>
    <row r="817">
      <c r="B817" s="71"/>
      <c r="F817" s="71"/>
      <c r="I817" s="148"/>
      <c r="J817" s="149"/>
    </row>
    <row r="818">
      <c r="B818" s="71"/>
      <c r="F818" s="71"/>
      <c r="I818" s="148"/>
      <c r="J818" s="149"/>
    </row>
    <row r="819">
      <c r="B819" s="71"/>
      <c r="F819" s="71"/>
      <c r="I819" s="148"/>
      <c r="J819" s="149"/>
    </row>
    <row r="820">
      <c r="B820" s="71"/>
      <c r="F820" s="71"/>
      <c r="I820" s="148"/>
      <c r="J820" s="149"/>
    </row>
    <row r="821">
      <c r="B821" s="71"/>
      <c r="F821" s="71"/>
      <c r="I821" s="148"/>
      <c r="J821" s="149"/>
    </row>
    <row r="822">
      <c r="B822" s="71"/>
      <c r="F822" s="71"/>
      <c r="I822" s="148"/>
      <c r="J822" s="149"/>
    </row>
    <row r="823">
      <c r="B823" s="71"/>
      <c r="F823" s="71"/>
      <c r="I823" s="148"/>
      <c r="J823" s="149"/>
    </row>
    <row r="824">
      <c r="B824" s="71"/>
      <c r="F824" s="71"/>
      <c r="I824" s="148"/>
      <c r="J824" s="149"/>
    </row>
    <row r="825">
      <c r="B825" s="71"/>
      <c r="F825" s="71"/>
      <c r="I825" s="148"/>
      <c r="J825" s="149"/>
    </row>
    <row r="826">
      <c r="B826" s="71"/>
      <c r="F826" s="71"/>
      <c r="I826" s="148"/>
      <c r="J826" s="149"/>
    </row>
    <row r="827">
      <c r="B827" s="71"/>
      <c r="F827" s="71"/>
      <c r="I827" s="148"/>
      <c r="J827" s="149"/>
    </row>
    <row r="828">
      <c r="B828" s="71"/>
      <c r="F828" s="71"/>
      <c r="I828" s="148"/>
      <c r="J828" s="149"/>
    </row>
    <row r="829">
      <c r="B829" s="71"/>
      <c r="F829" s="71"/>
      <c r="I829" s="148"/>
      <c r="J829" s="149"/>
    </row>
    <row r="830">
      <c r="B830" s="71"/>
      <c r="F830" s="71"/>
      <c r="I830" s="148"/>
      <c r="J830" s="149"/>
    </row>
    <row r="831">
      <c r="B831" s="71"/>
      <c r="F831" s="71"/>
      <c r="I831" s="148"/>
      <c r="J831" s="149"/>
    </row>
    <row r="832">
      <c r="B832" s="71"/>
      <c r="F832" s="71"/>
      <c r="I832" s="148"/>
      <c r="J832" s="149"/>
    </row>
    <row r="833">
      <c r="B833" s="71"/>
      <c r="F833" s="71"/>
      <c r="I833" s="148"/>
      <c r="J833" s="149"/>
    </row>
    <row r="834">
      <c r="B834" s="71"/>
      <c r="F834" s="71"/>
      <c r="I834" s="148"/>
      <c r="J834" s="149"/>
    </row>
    <row r="835">
      <c r="B835" s="71"/>
      <c r="F835" s="71"/>
      <c r="I835" s="148"/>
      <c r="J835" s="149"/>
    </row>
    <row r="836">
      <c r="B836" s="71"/>
      <c r="F836" s="71"/>
      <c r="I836" s="148"/>
      <c r="J836" s="149"/>
    </row>
    <row r="837">
      <c r="B837" s="71"/>
      <c r="F837" s="71"/>
      <c r="I837" s="148"/>
      <c r="J837" s="149"/>
    </row>
    <row r="838">
      <c r="B838" s="71"/>
      <c r="F838" s="71"/>
      <c r="I838" s="148"/>
      <c r="J838" s="149"/>
    </row>
    <row r="839">
      <c r="B839" s="71"/>
      <c r="F839" s="71"/>
      <c r="I839" s="148"/>
      <c r="J839" s="149"/>
    </row>
    <row r="840">
      <c r="B840" s="71"/>
      <c r="F840" s="71"/>
      <c r="I840" s="148"/>
      <c r="J840" s="149"/>
    </row>
    <row r="841">
      <c r="B841" s="71"/>
      <c r="F841" s="71"/>
      <c r="I841" s="148"/>
      <c r="J841" s="149"/>
    </row>
    <row r="842">
      <c r="B842" s="71"/>
      <c r="F842" s="71"/>
      <c r="I842" s="148"/>
      <c r="J842" s="149"/>
    </row>
    <row r="843">
      <c r="B843" s="71"/>
      <c r="F843" s="71"/>
      <c r="I843" s="148"/>
      <c r="J843" s="149"/>
    </row>
    <row r="844">
      <c r="B844" s="71"/>
      <c r="F844" s="71"/>
      <c r="I844" s="148"/>
      <c r="J844" s="149"/>
    </row>
    <row r="845">
      <c r="B845" s="71"/>
      <c r="F845" s="71"/>
      <c r="I845" s="148"/>
      <c r="J845" s="149"/>
    </row>
    <row r="846">
      <c r="B846" s="71"/>
      <c r="F846" s="71"/>
      <c r="I846" s="148"/>
      <c r="J846" s="149"/>
    </row>
    <row r="847">
      <c r="B847" s="71"/>
      <c r="F847" s="71"/>
      <c r="I847" s="148"/>
      <c r="J847" s="149"/>
    </row>
    <row r="848">
      <c r="B848" s="71"/>
      <c r="F848" s="71"/>
      <c r="I848" s="148"/>
      <c r="J848" s="149"/>
    </row>
    <row r="849">
      <c r="B849" s="71"/>
      <c r="F849" s="71"/>
      <c r="I849" s="148"/>
      <c r="J849" s="149"/>
    </row>
    <row r="850">
      <c r="B850" s="71"/>
      <c r="F850" s="71"/>
      <c r="I850" s="148"/>
      <c r="J850" s="149"/>
    </row>
    <row r="851">
      <c r="B851" s="71"/>
      <c r="F851" s="71"/>
      <c r="I851" s="148"/>
      <c r="J851" s="149"/>
    </row>
    <row r="852">
      <c r="B852" s="71"/>
      <c r="F852" s="71"/>
      <c r="I852" s="148"/>
      <c r="J852" s="149"/>
    </row>
    <row r="853">
      <c r="B853" s="71"/>
      <c r="F853" s="71"/>
      <c r="I853" s="148"/>
      <c r="J853" s="149"/>
    </row>
    <row r="854">
      <c r="B854" s="71"/>
      <c r="F854" s="71"/>
      <c r="I854" s="148"/>
      <c r="J854" s="149"/>
    </row>
    <row r="855">
      <c r="B855" s="71"/>
      <c r="F855" s="71"/>
      <c r="I855" s="148"/>
      <c r="J855" s="149"/>
    </row>
    <row r="856">
      <c r="B856" s="71"/>
      <c r="F856" s="71"/>
      <c r="I856" s="148"/>
      <c r="J856" s="149"/>
    </row>
    <row r="857">
      <c r="B857" s="71"/>
      <c r="F857" s="71"/>
      <c r="I857" s="148"/>
      <c r="J857" s="149"/>
    </row>
    <row r="858">
      <c r="B858" s="71"/>
      <c r="F858" s="71"/>
      <c r="I858" s="148"/>
      <c r="J858" s="149"/>
    </row>
    <row r="859">
      <c r="B859" s="71"/>
      <c r="F859" s="71"/>
      <c r="I859" s="148"/>
      <c r="J859" s="149"/>
    </row>
    <row r="860">
      <c r="B860" s="71"/>
      <c r="F860" s="71"/>
      <c r="I860" s="148"/>
      <c r="J860" s="149"/>
    </row>
    <row r="861">
      <c r="B861" s="71"/>
      <c r="F861" s="71"/>
      <c r="I861" s="148"/>
      <c r="J861" s="149"/>
    </row>
    <row r="862">
      <c r="B862" s="71"/>
      <c r="F862" s="71"/>
      <c r="I862" s="148"/>
      <c r="J862" s="149"/>
    </row>
    <row r="863">
      <c r="B863" s="71"/>
      <c r="F863" s="71"/>
      <c r="I863" s="148"/>
      <c r="J863" s="149"/>
    </row>
    <row r="864">
      <c r="B864" s="71"/>
      <c r="F864" s="71"/>
      <c r="I864" s="148"/>
      <c r="J864" s="149"/>
    </row>
    <row r="865">
      <c r="B865" s="71"/>
      <c r="F865" s="71"/>
      <c r="I865" s="148"/>
      <c r="J865" s="149"/>
    </row>
    <row r="866">
      <c r="B866" s="71"/>
      <c r="F866" s="71"/>
      <c r="I866" s="148"/>
      <c r="J866" s="149"/>
    </row>
    <row r="867">
      <c r="B867" s="71"/>
      <c r="F867" s="71"/>
      <c r="I867" s="148"/>
      <c r="J867" s="149"/>
    </row>
    <row r="868">
      <c r="B868" s="71"/>
      <c r="F868" s="71"/>
      <c r="I868" s="148"/>
      <c r="J868" s="149"/>
    </row>
    <row r="869">
      <c r="B869" s="71"/>
      <c r="F869" s="71"/>
      <c r="I869" s="148"/>
      <c r="J869" s="149"/>
    </row>
    <row r="870">
      <c r="B870" s="71"/>
      <c r="F870" s="71"/>
      <c r="I870" s="148"/>
      <c r="J870" s="149"/>
    </row>
    <row r="871">
      <c r="B871" s="71"/>
      <c r="F871" s="71"/>
      <c r="I871" s="148"/>
      <c r="J871" s="149"/>
    </row>
    <row r="872">
      <c r="B872" s="71"/>
      <c r="F872" s="71"/>
      <c r="I872" s="148"/>
      <c r="J872" s="149"/>
    </row>
    <row r="873">
      <c r="B873" s="71"/>
      <c r="F873" s="71"/>
      <c r="I873" s="148"/>
      <c r="J873" s="149"/>
    </row>
    <row r="874">
      <c r="B874" s="71"/>
      <c r="F874" s="71"/>
      <c r="I874" s="148"/>
      <c r="J874" s="149"/>
    </row>
    <row r="875">
      <c r="B875" s="71"/>
      <c r="F875" s="71"/>
      <c r="I875" s="148"/>
      <c r="J875" s="149"/>
    </row>
    <row r="876">
      <c r="B876" s="71"/>
      <c r="F876" s="71"/>
      <c r="I876" s="148"/>
      <c r="J876" s="149"/>
    </row>
    <row r="877">
      <c r="B877" s="71"/>
      <c r="F877" s="71"/>
      <c r="I877" s="148"/>
      <c r="J877" s="149"/>
    </row>
    <row r="878">
      <c r="B878" s="71"/>
      <c r="F878" s="71"/>
      <c r="I878" s="148"/>
      <c r="J878" s="149"/>
    </row>
    <row r="879">
      <c r="B879" s="71"/>
      <c r="F879" s="71"/>
      <c r="I879" s="148"/>
      <c r="J879" s="149"/>
    </row>
    <row r="880">
      <c r="B880" s="71"/>
      <c r="F880" s="71"/>
      <c r="I880" s="148"/>
      <c r="J880" s="149"/>
    </row>
    <row r="881">
      <c r="B881" s="71"/>
      <c r="F881" s="71"/>
      <c r="I881" s="148"/>
      <c r="J881" s="149"/>
    </row>
    <row r="882">
      <c r="B882" s="71"/>
      <c r="F882" s="71"/>
      <c r="I882" s="148"/>
      <c r="J882" s="149"/>
    </row>
    <row r="883">
      <c r="B883" s="71"/>
      <c r="F883" s="71"/>
      <c r="I883" s="148"/>
      <c r="J883" s="149"/>
    </row>
    <row r="884">
      <c r="B884" s="71"/>
      <c r="F884" s="71"/>
      <c r="I884" s="148"/>
      <c r="J884" s="149"/>
    </row>
    <row r="885">
      <c r="B885" s="71"/>
      <c r="F885" s="71"/>
      <c r="I885" s="148"/>
      <c r="J885" s="149"/>
    </row>
    <row r="886">
      <c r="B886" s="71"/>
      <c r="F886" s="71"/>
      <c r="I886" s="148"/>
      <c r="J886" s="149"/>
    </row>
    <row r="887">
      <c r="B887" s="71"/>
      <c r="F887" s="71"/>
      <c r="I887" s="148"/>
      <c r="J887" s="149"/>
    </row>
    <row r="888">
      <c r="B888" s="71"/>
      <c r="F888" s="71"/>
      <c r="I888" s="148"/>
      <c r="J888" s="149"/>
    </row>
    <row r="889">
      <c r="B889" s="71"/>
      <c r="F889" s="71"/>
      <c r="I889" s="148"/>
      <c r="J889" s="149"/>
    </row>
    <row r="890">
      <c r="B890" s="71"/>
      <c r="F890" s="71"/>
      <c r="I890" s="148"/>
      <c r="J890" s="149"/>
    </row>
    <row r="891">
      <c r="B891" s="71"/>
      <c r="F891" s="71"/>
      <c r="I891" s="148"/>
      <c r="J891" s="149"/>
    </row>
    <row r="892">
      <c r="B892" s="71"/>
      <c r="F892" s="71"/>
      <c r="I892" s="148"/>
      <c r="J892" s="149"/>
    </row>
    <row r="893">
      <c r="B893" s="71"/>
      <c r="F893" s="71"/>
      <c r="I893" s="148"/>
      <c r="J893" s="149"/>
    </row>
    <row r="894">
      <c r="B894" s="71"/>
      <c r="F894" s="71"/>
      <c r="I894" s="148"/>
      <c r="J894" s="149"/>
    </row>
    <row r="895">
      <c r="B895" s="71"/>
      <c r="F895" s="71"/>
      <c r="I895" s="148"/>
      <c r="J895" s="149"/>
    </row>
    <row r="896">
      <c r="B896" s="71"/>
      <c r="F896" s="71"/>
      <c r="I896" s="148"/>
      <c r="J896" s="149"/>
    </row>
    <row r="897">
      <c r="B897" s="71"/>
      <c r="F897" s="71"/>
      <c r="I897" s="148"/>
      <c r="J897" s="149"/>
    </row>
    <row r="898">
      <c r="B898" s="71"/>
      <c r="F898" s="71"/>
      <c r="I898" s="148"/>
      <c r="J898" s="149"/>
    </row>
    <row r="899">
      <c r="B899" s="71"/>
      <c r="F899" s="71"/>
      <c r="I899" s="148"/>
      <c r="J899" s="149"/>
    </row>
    <row r="900">
      <c r="B900" s="71"/>
      <c r="F900" s="71"/>
      <c r="I900" s="148"/>
      <c r="J900" s="149"/>
    </row>
    <row r="901">
      <c r="B901" s="71"/>
      <c r="F901" s="71"/>
      <c r="I901" s="148"/>
      <c r="J901" s="149"/>
    </row>
    <row r="902">
      <c r="B902" s="71"/>
      <c r="F902" s="71"/>
      <c r="I902" s="148"/>
      <c r="J902" s="149"/>
    </row>
    <row r="903">
      <c r="B903" s="71"/>
      <c r="F903" s="71"/>
      <c r="I903" s="148"/>
      <c r="J903" s="149"/>
    </row>
    <row r="904">
      <c r="B904" s="71"/>
      <c r="F904" s="71"/>
      <c r="I904" s="148"/>
      <c r="J904" s="149"/>
    </row>
    <row r="905">
      <c r="B905" s="71"/>
      <c r="F905" s="71"/>
      <c r="I905" s="148"/>
      <c r="J905" s="149"/>
    </row>
    <row r="906">
      <c r="B906" s="71"/>
      <c r="F906" s="71"/>
      <c r="I906" s="148"/>
      <c r="J906" s="149"/>
    </row>
    <row r="907">
      <c r="B907" s="71"/>
      <c r="F907" s="71"/>
      <c r="I907" s="148"/>
      <c r="J907" s="149"/>
    </row>
    <row r="908">
      <c r="B908" s="71"/>
      <c r="F908" s="71"/>
      <c r="I908" s="148"/>
      <c r="J908" s="149"/>
    </row>
    <row r="909">
      <c r="B909" s="71"/>
      <c r="F909" s="71"/>
      <c r="I909" s="148"/>
      <c r="J909" s="149"/>
    </row>
    <row r="910">
      <c r="B910" s="71"/>
      <c r="F910" s="71"/>
      <c r="I910" s="148"/>
      <c r="J910" s="149"/>
    </row>
    <row r="911">
      <c r="B911" s="71"/>
      <c r="F911" s="71"/>
      <c r="I911" s="148"/>
      <c r="J911" s="149"/>
    </row>
    <row r="912">
      <c r="B912" s="71"/>
      <c r="F912" s="71"/>
      <c r="I912" s="148"/>
      <c r="J912" s="149"/>
    </row>
    <row r="913">
      <c r="B913" s="71"/>
      <c r="F913" s="71"/>
      <c r="I913" s="148"/>
      <c r="J913" s="149"/>
    </row>
    <row r="914">
      <c r="B914" s="71"/>
      <c r="F914" s="71"/>
      <c r="I914" s="148"/>
      <c r="J914" s="149"/>
    </row>
    <row r="915">
      <c r="B915" s="71"/>
      <c r="F915" s="71"/>
      <c r="I915" s="148"/>
      <c r="J915" s="149"/>
    </row>
    <row r="916">
      <c r="B916" s="71"/>
      <c r="F916" s="71"/>
      <c r="I916" s="148"/>
      <c r="J916" s="149"/>
    </row>
    <row r="917">
      <c r="B917" s="71"/>
      <c r="F917" s="71"/>
      <c r="I917" s="148"/>
      <c r="J917" s="149"/>
    </row>
    <row r="918">
      <c r="B918" s="71"/>
      <c r="F918" s="71"/>
      <c r="I918" s="148"/>
      <c r="J918" s="149"/>
    </row>
    <row r="919">
      <c r="B919" s="71"/>
      <c r="F919" s="71"/>
      <c r="I919" s="148"/>
      <c r="J919" s="149"/>
    </row>
    <row r="920">
      <c r="B920" s="71"/>
      <c r="F920" s="71"/>
      <c r="I920" s="148"/>
      <c r="J920" s="149"/>
    </row>
    <row r="921">
      <c r="B921" s="71"/>
      <c r="F921" s="71"/>
      <c r="I921" s="148"/>
      <c r="J921" s="149"/>
    </row>
    <row r="922">
      <c r="B922" s="71"/>
      <c r="F922" s="71"/>
      <c r="I922" s="148"/>
      <c r="J922" s="149"/>
    </row>
    <row r="923">
      <c r="B923" s="71"/>
      <c r="F923" s="71"/>
      <c r="I923" s="148"/>
      <c r="J923" s="149"/>
    </row>
    <row r="924">
      <c r="B924" s="71"/>
      <c r="F924" s="71"/>
      <c r="I924" s="148"/>
      <c r="J924" s="149"/>
    </row>
    <row r="925">
      <c r="B925" s="71"/>
      <c r="F925" s="71"/>
      <c r="I925" s="148"/>
      <c r="J925" s="149"/>
    </row>
    <row r="926">
      <c r="B926" s="71"/>
      <c r="F926" s="71"/>
      <c r="I926" s="148"/>
      <c r="J926" s="149"/>
    </row>
    <row r="927">
      <c r="B927" s="71"/>
      <c r="F927" s="71"/>
      <c r="I927" s="148"/>
      <c r="J927" s="149"/>
    </row>
    <row r="928">
      <c r="B928" s="71"/>
      <c r="F928" s="71"/>
      <c r="I928" s="148"/>
      <c r="J928" s="149"/>
    </row>
    <row r="929">
      <c r="B929" s="71"/>
      <c r="F929" s="71"/>
      <c r="I929" s="148"/>
      <c r="J929" s="149"/>
    </row>
    <row r="930">
      <c r="B930" s="71"/>
      <c r="F930" s="71"/>
      <c r="I930" s="148"/>
      <c r="J930" s="149"/>
    </row>
    <row r="931">
      <c r="B931" s="71"/>
      <c r="F931" s="71"/>
      <c r="I931" s="148"/>
      <c r="J931" s="149"/>
    </row>
    <row r="932">
      <c r="B932" s="71"/>
      <c r="F932" s="71"/>
      <c r="I932" s="148"/>
      <c r="J932" s="149"/>
    </row>
    <row r="933">
      <c r="B933" s="71"/>
      <c r="F933" s="71"/>
      <c r="I933" s="148"/>
      <c r="J933" s="149"/>
    </row>
    <row r="934">
      <c r="B934" s="71"/>
      <c r="F934" s="71"/>
      <c r="I934" s="148"/>
      <c r="J934" s="149"/>
    </row>
    <row r="935">
      <c r="B935" s="71"/>
      <c r="F935" s="71"/>
      <c r="I935" s="148"/>
      <c r="J935" s="149"/>
    </row>
    <row r="936">
      <c r="B936" s="71"/>
      <c r="F936" s="71"/>
      <c r="I936" s="148"/>
      <c r="J936" s="149"/>
    </row>
    <row r="937">
      <c r="B937" s="71"/>
      <c r="F937" s="71"/>
      <c r="I937" s="148"/>
      <c r="J937" s="149"/>
    </row>
    <row r="938">
      <c r="B938" s="71"/>
      <c r="F938" s="71"/>
      <c r="I938" s="148"/>
      <c r="J938" s="149"/>
    </row>
    <row r="939">
      <c r="B939" s="71"/>
      <c r="F939" s="71"/>
      <c r="I939" s="148"/>
      <c r="J939" s="149"/>
    </row>
    <row r="940">
      <c r="B940" s="71"/>
      <c r="F940" s="71"/>
      <c r="I940" s="148"/>
      <c r="J940" s="149"/>
    </row>
    <row r="941">
      <c r="B941" s="71"/>
      <c r="F941" s="71"/>
      <c r="I941" s="148"/>
      <c r="J941" s="149"/>
    </row>
    <row r="942">
      <c r="B942" s="71"/>
      <c r="F942" s="71"/>
      <c r="I942" s="148"/>
      <c r="J942" s="149"/>
    </row>
    <row r="943">
      <c r="B943" s="71"/>
      <c r="F943" s="71"/>
      <c r="I943" s="148"/>
      <c r="J943" s="149"/>
    </row>
    <row r="944">
      <c r="B944" s="71"/>
      <c r="F944" s="71"/>
      <c r="I944" s="148"/>
      <c r="J944" s="149"/>
    </row>
    <row r="945">
      <c r="B945" s="71"/>
      <c r="F945" s="71"/>
      <c r="I945" s="148"/>
      <c r="J945" s="149"/>
    </row>
    <row r="946">
      <c r="B946" s="71"/>
      <c r="F946" s="71"/>
      <c r="I946" s="148"/>
      <c r="J946" s="149"/>
    </row>
    <row r="947">
      <c r="B947" s="71"/>
      <c r="F947" s="71"/>
      <c r="I947" s="148"/>
      <c r="J947" s="149"/>
    </row>
    <row r="948">
      <c r="B948" s="71"/>
      <c r="F948" s="71"/>
      <c r="I948" s="148"/>
      <c r="J948" s="149"/>
    </row>
    <row r="949">
      <c r="B949" s="71"/>
      <c r="F949" s="71"/>
      <c r="I949" s="148"/>
      <c r="J949" s="149"/>
    </row>
    <row r="950">
      <c r="B950" s="71"/>
      <c r="F950" s="71"/>
      <c r="I950" s="148"/>
      <c r="J950" s="149"/>
    </row>
    <row r="951">
      <c r="B951" s="71"/>
      <c r="F951" s="71"/>
      <c r="I951" s="148"/>
      <c r="J951" s="149"/>
    </row>
    <row r="952">
      <c r="B952" s="71"/>
      <c r="F952" s="71"/>
      <c r="I952" s="148"/>
      <c r="J952" s="149"/>
    </row>
    <row r="953">
      <c r="B953" s="71"/>
      <c r="F953" s="71"/>
      <c r="I953" s="148"/>
      <c r="J953" s="149"/>
    </row>
    <row r="954">
      <c r="B954" s="71"/>
      <c r="F954" s="71"/>
      <c r="I954" s="148"/>
      <c r="J954" s="149"/>
    </row>
    <row r="955">
      <c r="B955" s="71"/>
      <c r="F955" s="71"/>
      <c r="I955" s="148"/>
      <c r="J955" s="149"/>
    </row>
    <row r="956">
      <c r="B956" s="71"/>
      <c r="F956" s="71"/>
      <c r="I956" s="148"/>
      <c r="J956" s="149"/>
    </row>
    <row r="957">
      <c r="B957" s="71"/>
      <c r="F957" s="71"/>
      <c r="I957" s="148"/>
      <c r="J957" s="149"/>
    </row>
    <row r="958">
      <c r="B958" s="71"/>
      <c r="F958" s="71"/>
      <c r="I958" s="148"/>
      <c r="J958" s="149"/>
    </row>
    <row r="959">
      <c r="B959" s="71"/>
      <c r="F959" s="71"/>
      <c r="I959" s="148"/>
      <c r="J959" s="149"/>
    </row>
    <row r="960">
      <c r="B960" s="71"/>
      <c r="F960" s="71"/>
      <c r="I960" s="148"/>
      <c r="J960" s="149"/>
    </row>
    <row r="961">
      <c r="B961" s="71"/>
      <c r="F961" s="71"/>
      <c r="I961" s="148"/>
      <c r="J961" s="149"/>
    </row>
    <row r="962">
      <c r="B962" s="71"/>
      <c r="F962" s="71"/>
      <c r="I962" s="148"/>
      <c r="J962" s="149"/>
    </row>
    <row r="963">
      <c r="B963" s="71"/>
      <c r="F963" s="71"/>
      <c r="I963" s="148"/>
      <c r="J963" s="149"/>
    </row>
    <row r="964">
      <c r="B964" s="71"/>
      <c r="F964" s="71"/>
      <c r="I964" s="148"/>
      <c r="J964" s="149"/>
    </row>
    <row r="965">
      <c r="B965" s="71"/>
      <c r="F965" s="71"/>
      <c r="I965" s="148"/>
      <c r="J965" s="149"/>
    </row>
    <row r="966">
      <c r="B966" s="71"/>
      <c r="F966" s="71"/>
      <c r="I966" s="148"/>
      <c r="J966" s="149"/>
    </row>
    <row r="967">
      <c r="B967" s="71"/>
      <c r="F967" s="71"/>
      <c r="I967" s="148"/>
      <c r="J967" s="149"/>
    </row>
    <row r="968">
      <c r="B968" s="71"/>
      <c r="F968" s="71"/>
      <c r="I968" s="148"/>
      <c r="J968" s="149"/>
    </row>
    <row r="969">
      <c r="B969" s="71"/>
      <c r="F969" s="71"/>
      <c r="I969" s="148"/>
      <c r="J969" s="149"/>
    </row>
    <row r="970">
      <c r="B970" s="71"/>
      <c r="F970" s="71"/>
      <c r="I970" s="148"/>
      <c r="J970" s="149"/>
    </row>
    <row r="971">
      <c r="B971" s="71"/>
      <c r="F971" s="71"/>
      <c r="I971" s="148"/>
      <c r="J971" s="149"/>
    </row>
    <row r="972">
      <c r="B972" s="71"/>
      <c r="F972" s="71"/>
      <c r="I972" s="148"/>
      <c r="J972" s="149"/>
    </row>
    <row r="973">
      <c r="B973" s="71"/>
      <c r="F973" s="71"/>
      <c r="I973" s="148"/>
      <c r="J973" s="149"/>
    </row>
    <row r="974">
      <c r="B974" s="71"/>
      <c r="F974" s="71"/>
      <c r="I974" s="148"/>
      <c r="J974" s="149"/>
    </row>
    <row r="975">
      <c r="B975" s="71"/>
      <c r="F975" s="71"/>
      <c r="I975" s="148"/>
      <c r="J975" s="149"/>
    </row>
    <row r="976">
      <c r="B976" s="71"/>
      <c r="F976" s="71"/>
      <c r="I976" s="148"/>
      <c r="J976" s="149"/>
    </row>
    <row r="977">
      <c r="B977" s="71"/>
      <c r="F977" s="71"/>
      <c r="I977" s="148"/>
      <c r="J977" s="149"/>
    </row>
    <row r="978">
      <c r="B978" s="71"/>
      <c r="F978" s="71"/>
      <c r="I978" s="148"/>
      <c r="J978" s="149"/>
    </row>
    <row r="979">
      <c r="B979" s="71"/>
      <c r="F979" s="71"/>
      <c r="I979" s="148"/>
      <c r="J979" s="149"/>
    </row>
    <row r="980">
      <c r="B980" s="71"/>
      <c r="F980" s="71"/>
      <c r="I980" s="148"/>
      <c r="J980" s="149"/>
    </row>
    <row r="981">
      <c r="B981" s="71"/>
      <c r="F981" s="71"/>
      <c r="I981" s="148"/>
      <c r="J981" s="149"/>
    </row>
    <row r="982">
      <c r="B982" s="71"/>
      <c r="F982" s="71"/>
      <c r="I982" s="148"/>
      <c r="J982" s="149"/>
    </row>
    <row r="983">
      <c r="B983" s="71"/>
      <c r="F983" s="71"/>
      <c r="I983" s="148"/>
      <c r="J983" s="149"/>
    </row>
    <row r="984">
      <c r="B984" s="71"/>
      <c r="F984" s="71"/>
      <c r="I984" s="148"/>
      <c r="J984" s="149"/>
    </row>
    <row r="985">
      <c r="B985" s="71"/>
      <c r="F985" s="71"/>
      <c r="I985" s="148"/>
      <c r="J985" s="149"/>
    </row>
    <row r="986">
      <c r="B986" s="71"/>
      <c r="F986" s="71"/>
      <c r="I986" s="148"/>
      <c r="J986" s="149"/>
    </row>
    <row r="987">
      <c r="B987" s="71"/>
      <c r="F987" s="71"/>
      <c r="I987" s="148"/>
      <c r="J987" s="149"/>
    </row>
    <row r="988">
      <c r="B988" s="71"/>
      <c r="F988" s="71"/>
      <c r="I988" s="148"/>
      <c r="J988" s="149"/>
    </row>
    <row r="989">
      <c r="B989" s="71"/>
      <c r="F989" s="71"/>
      <c r="I989" s="148"/>
      <c r="J989" s="149"/>
    </row>
    <row r="990">
      <c r="B990" s="71"/>
      <c r="F990" s="71"/>
      <c r="I990" s="148"/>
      <c r="J990" s="149"/>
    </row>
    <row r="991">
      <c r="B991" s="71"/>
      <c r="F991" s="71"/>
      <c r="I991" s="148"/>
      <c r="J991" s="149"/>
    </row>
    <row r="992">
      <c r="B992" s="71"/>
      <c r="F992" s="71"/>
      <c r="I992" s="148"/>
      <c r="J992" s="149"/>
    </row>
    <row r="993">
      <c r="B993" s="71"/>
      <c r="F993" s="71"/>
      <c r="I993" s="148"/>
      <c r="J993" s="149"/>
    </row>
    <row r="994">
      <c r="B994" s="71"/>
      <c r="F994" s="71"/>
      <c r="I994" s="148"/>
      <c r="J994" s="149"/>
    </row>
    <row r="995">
      <c r="B995" s="71"/>
      <c r="F995" s="71"/>
      <c r="I995" s="148"/>
      <c r="J995" s="149"/>
    </row>
    <row r="996">
      <c r="B996" s="71"/>
      <c r="F996" s="71"/>
      <c r="I996" s="148"/>
      <c r="J996" s="149"/>
    </row>
    <row r="997">
      <c r="B997" s="71"/>
      <c r="F997" s="71"/>
      <c r="I997" s="148"/>
      <c r="J997" s="149"/>
    </row>
    <row r="998">
      <c r="B998" s="71"/>
      <c r="F998" s="71"/>
      <c r="I998" s="148"/>
      <c r="J998" s="149"/>
    </row>
    <row r="999">
      <c r="B999" s="71"/>
      <c r="F999" s="71"/>
      <c r="I999" s="148"/>
      <c r="J999" s="149"/>
    </row>
    <row r="1000">
      <c r="B1000" s="71"/>
      <c r="F1000" s="71"/>
      <c r="I1000" s="148"/>
      <c r="J1000" s="149"/>
    </row>
  </sheetData>
  <mergeCells count="20">
    <mergeCell ref="A1:B1"/>
    <mergeCell ref="E1:F1"/>
    <mergeCell ref="H1:K1"/>
    <mergeCell ref="A2:B2"/>
    <mergeCell ref="E2:F2"/>
    <mergeCell ref="H2:K2"/>
    <mergeCell ref="M2:N2"/>
    <mergeCell ref="M8:N8"/>
    <mergeCell ref="M9:N9"/>
    <mergeCell ref="M10:N10"/>
    <mergeCell ref="I18:J18"/>
    <mergeCell ref="E21:F21"/>
    <mergeCell ref="E22:F22"/>
    <mergeCell ref="M3:N3"/>
    <mergeCell ref="P3:Q3"/>
    <mergeCell ref="M4:N4"/>
    <mergeCell ref="P4:Q4"/>
    <mergeCell ref="M5:N5"/>
    <mergeCell ref="M6:N6"/>
    <mergeCell ref="M7:N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5.75"/>
    <col customWidth="1" min="4" max="4" width="3.63"/>
    <col customWidth="1" min="5" max="5" width="17.25"/>
    <col customWidth="1" min="6" max="6" width="10.13"/>
    <col customWidth="1" min="7" max="7" width="2.88"/>
    <col customWidth="1" min="8" max="8" width="2.75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3.13"/>
    <col customWidth="1" min="14" max="14" width="19.13"/>
    <col customWidth="1" min="16" max="16" width="2.13"/>
    <col customWidth="1" min="17" max="17" width="14.2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6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139</v>
      </c>
      <c r="B2" s="9"/>
      <c r="C2" s="10" t="s">
        <v>4</v>
      </c>
      <c r="D2" s="4"/>
      <c r="E2" s="8" t="s">
        <v>139</v>
      </c>
      <c r="F2" s="9"/>
      <c r="G2" s="7"/>
      <c r="H2" s="7"/>
      <c r="I2" s="8" t="s">
        <v>139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6</v>
      </c>
      <c r="B3" s="115">
        <v>36.59</v>
      </c>
      <c r="C3" s="15" t="s">
        <v>132</v>
      </c>
      <c r="D3" s="4"/>
      <c r="E3" s="16" t="s">
        <v>31</v>
      </c>
      <c r="F3" s="17">
        <v>3204.18</v>
      </c>
      <c r="G3" s="7"/>
      <c r="H3" s="7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11</v>
      </c>
      <c r="B4" s="118">
        <v>114.99</v>
      </c>
      <c r="C4" s="23" t="s">
        <v>132</v>
      </c>
      <c r="D4" s="4"/>
      <c r="E4" s="24" t="s">
        <v>32</v>
      </c>
      <c r="F4" s="25">
        <v>3000.0</v>
      </c>
      <c r="G4" s="7"/>
      <c r="H4" s="7"/>
      <c r="I4" s="82" t="s">
        <v>128</v>
      </c>
      <c r="J4" s="120">
        <v>645.33</v>
      </c>
      <c r="K4" s="121" t="s">
        <v>140</v>
      </c>
      <c r="L4" s="83" t="s">
        <v>141</v>
      </c>
      <c r="M4" s="4"/>
      <c r="N4" s="28">
        <f>B19</f>
        <v>5751.23</v>
      </c>
      <c r="O4" s="9"/>
      <c r="P4" s="7"/>
      <c r="Q4" s="29">
        <v>5000.0</v>
      </c>
    </row>
    <row r="5">
      <c r="A5" s="13" t="s">
        <v>13</v>
      </c>
      <c r="B5" s="115">
        <v>500.0</v>
      </c>
      <c r="C5" s="15" t="s">
        <v>132</v>
      </c>
      <c r="D5" s="4"/>
      <c r="E5" s="39"/>
      <c r="F5" s="40"/>
      <c r="G5" s="7"/>
      <c r="H5" s="7"/>
      <c r="I5" s="80" t="s">
        <v>142</v>
      </c>
      <c r="J5" s="124">
        <v>115.0</v>
      </c>
      <c r="K5" s="125" t="s">
        <v>143</v>
      </c>
      <c r="L5" s="81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15</v>
      </c>
      <c r="B6" s="118">
        <v>1500.0</v>
      </c>
      <c r="C6" s="23" t="s">
        <v>132</v>
      </c>
      <c r="D6" s="4"/>
      <c r="E6" s="35"/>
      <c r="F6" s="36"/>
      <c r="G6" s="7"/>
      <c r="H6" s="7"/>
      <c r="I6" s="82" t="s">
        <v>144</v>
      </c>
      <c r="J6" s="120">
        <v>572.0</v>
      </c>
      <c r="K6" s="121" t="s">
        <v>145</v>
      </c>
      <c r="L6" s="86" t="s">
        <v>146</v>
      </c>
      <c r="M6" s="67"/>
      <c r="N6" s="28">
        <f>F18</f>
        <v>6204.18</v>
      </c>
      <c r="O6" s="9"/>
      <c r="P6" s="7"/>
      <c r="Q6" s="7"/>
      <c r="R6" s="7"/>
    </row>
    <row r="7">
      <c r="A7" s="43" t="s">
        <v>17</v>
      </c>
      <c r="B7" s="122">
        <v>1794.65</v>
      </c>
      <c r="C7" s="151" t="s">
        <v>132</v>
      </c>
      <c r="D7" s="4"/>
      <c r="E7" s="39"/>
      <c r="F7" s="40"/>
      <c r="G7" s="7"/>
      <c r="H7" s="7"/>
      <c r="I7" s="80" t="s">
        <v>118</v>
      </c>
      <c r="J7" s="124">
        <v>264.52</v>
      </c>
      <c r="K7" s="125" t="s">
        <v>147</v>
      </c>
      <c r="L7" s="81" t="s">
        <v>116</v>
      </c>
      <c r="N7" s="12" t="s">
        <v>16</v>
      </c>
      <c r="O7" s="9"/>
      <c r="P7" s="7"/>
      <c r="Q7" s="7"/>
      <c r="R7" s="7"/>
    </row>
    <row r="8">
      <c r="A8" s="41" t="s">
        <v>43</v>
      </c>
      <c r="B8" s="118">
        <v>17.0</v>
      </c>
      <c r="C8" s="152" t="s">
        <v>132</v>
      </c>
      <c r="D8" s="4"/>
      <c r="E8" s="35"/>
      <c r="F8" s="36"/>
      <c r="G8" s="7"/>
      <c r="H8" s="7"/>
      <c r="I8" s="82" t="s">
        <v>114</v>
      </c>
      <c r="J8" s="120">
        <v>142.4</v>
      </c>
      <c r="K8" s="121" t="s">
        <v>147</v>
      </c>
      <c r="L8" s="83" t="s">
        <v>116</v>
      </c>
      <c r="M8" s="7"/>
      <c r="N8" s="42">
        <f>Agosto!P4</f>
        <v>10212.66</v>
      </c>
      <c r="P8" s="7"/>
      <c r="Q8" s="7"/>
      <c r="R8" s="7"/>
    </row>
    <row r="9">
      <c r="A9" s="43" t="s">
        <v>123</v>
      </c>
      <c r="B9" s="122">
        <v>1340.0</v>
      </c>
      <c r="C9" s="151" t="s">
        <v>132</v>
      </c>
      <c r="D9" s="4"/>
      <c r="E9" s="39"/>
      <c r="F9" s="44"/>
      <c r="G9" s="7"/>
      <c r="H9" s="7"/>
      <c r="I9" s="80" t="s">
        <v>119</v>
      </c>
      <c r="J9" s="124">
        <v>175.44</v>
      </c>
      <c r="K9" s="125" t="s">
        <v>115</v>
      </c>
      <c r="L9" s="153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127</v>
      </c>
      <c r="B10" s="118">
        <v>0.0</v>
      </c>
      <c r="C10" s="152" t="s">
        <v>132</v>
      </c>
      <c r="D10" s="4"/>
      <c r="E10" s="35"/>
      <c r="F10" s="45"/>
      <c r="G10" s="7"/>
      <c r="H10" s="7"/>
      <c r="I10" s="82" t="s">
        <v>119</v>
      </c>
      <c r="J10" s="120">
        <v>137.99</v>
      </c>
      <c r="K10" s="121" t="s">
        <v>115</v>
      </c>
      <c r="L10" s="83" t="s">
        <v>116</v>
      </c>
      <c r="M10" s="7"/>
      <c r="N10" s="87">
        <v>0.0</v>
      </c>
      <c r="P10" s="7"/>
      <c r="Q10" s="7"/>
      <c r="R10" s="7"/>
    </row>
    <row r="11">
      <c r="A11" s="47" t="s">
        <v>129</v>
      </c>
      <c r="B11" s="115">
        <v>400.0</v>
      </c>
      <c r="C11" s="49" t="s">
        <v>132</v>
      </c>
      <c r="D11" s="4"/>
      <c r="E11" s="4"/>
      <c r="F11" s="48"/>
      <c r="G11" s="7"/>
      <c r="H11" s="7"/>
      <c r="I11" s="80" t="s">
        <v>121</v>
      </c>
      <c r="J11" s="124">
        <v>61.0</v>
      </c>
      <c r="K11" s="125" t="s">
        <v>140</v>
      </c>
      <c r="L11" s="153" t="s">
        <v>116</v>
      </c>
      <c r="M11" s="7"/>
      <c r="N11" s="7"/>
      <c r="O11" s="7"/>
      <c r="P11" s="7"/>
      <c r="Q11" s="7"/>
      <c r="R11" s="7"/>
    </row>
    <row r="12">
      <c r="A12" s="41" t="s">
        <v>148</v>
      </c>
      <c r="B12" s="154">
        <v>48.0</v>
      </c>
      <c r="C12" s="152" t="s">
        <v>132</v>
      </c>
      <c r="D12" s="4"/>
      <c r="E12" s="35"/>
      <c r="F12" s="45"/>
      <c r="G12" s="7"/>
      <c r="H12" s="7"/>
      <c r="I12" s="82" t="s">
        <v>149</v>
      </c>
      <c r="J12" s="120">
        <v>119.0</v>
      </c>
      <c r="K12" s="155">
        <v>45690.0</v>
      </c>
      <c r="L12" s="83" t="s">
        <v>116</v>
      </c>
      <c r="M12" s="7"/>
      <c r="N12" s="7"/>
      <c r="O12" s="7"/>
      <c r="P12" s="7"/>
      <c r="Q12" s="7"/>
      <c r="R12" s="7"/>
    </row>
    <row r="13">
      <c r="A13" s="47" t="s">
        <v>131</v>
      </c>
      <c r="B13" s="156">
        <v>0.0</v>
      </c>
      <c r="C13" s="53"/>
      <c r="D13" s="4"/>
      <c r="E13" s="4"/>
      <c r="F13" s="48"/>
      <c r="G13" s="7"/>
      <c r="H13" s="7"/>
      <c r="I13" s="80" t="s">
        <v>150</v>
      </c>
      <c r="J13" s="124">
        <v>24.87</v>
      </c>
      <c r="K13" s="157">
        <v>45870.0</v>
      </c>
      <c r="L13" s="81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7"/>
      <c r="I14" s="82" t="s">
        <v>151</v>
      </c>
      <c r="J14" s="120">
        <v>62.49</v>
      </c>
      <c r="K14" s="155">
        <v>45717.0</v>
      </c>
      <c r="L14" s="83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7"/>
      <c r="I15" s="80" t="s">
        <v>152</v>
      </c>
      <c r="J15" s="124">
        <v>55.42</v>
      </c>
      <c r="K15" s="157">
        <v>45839.0</v>
      </c>
      <c r="L15" s="81" t="s">
        <v>116</v>
      </c>
      <c r="M15" s="7"/>
      <c r="N15" s="7"/>
      <c r="O15" s="7"/>
    </row>
    <row r="16">
      <c r="A16" s="21"/>
      <c r="B16" s="45"/>
      <c r="C16" s="46"/>
      <c r="D16" s="4"/>
      <c r="E16" s="35"/>
      <c r="F16" s="45"/>
      <c r="G16" s="7"/>
      <c r="H16" s="7"/>
      <c r="I16" s="82" t="s">
        <v>153</v>
      </c>
      <c r="J16" s="120">
        <v>79.92</v>
      </c>
      <c r="K16" s="155">
        <v>45931.0</v>
      </c>
      <c r="L16" s="83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7"/>
      <c r="I17" s="102" t="s">
        <v>154</v>
      </c>
      <c r="J17" s="158">
        <v>52.38</v>
      </c>
      <c r="K17" s="159">
        <v>45778.0</v>
      </c>
      <c r="L17" s="103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6204.18</v>
      </c>
      <c r="G18" s="7"/>
      <c r="H18" s="7"/>
      <c r="I18" s="82" t="s">
        <v>155</v>
      </c>
      <c r="J18" s="120">
        <v>71.8</v>
      </c>
      <c r="K18" s="121" t="s">
        <v>156</v>
      </c>
      <c r="L18" s="83" t="s">
        <v>116</v>
      </c>
      <c r="M18" s="7"/>
      <c r="N18" s="7"/>
      <c r="O18" s="7"/>
    </row>
    <row r="19">
      <c r="A19" s="63" t="s">
        <v>21</v>
      </c>
      <c r="B19" s="95">
        <f>SUM(B3:B18)</f>
        <v>5751.23</v>
      </c>
      <c r="C19" s="7"/>
      <c r="D19" s="7"/>
      <c r="E19" s="7"/>
      <c r="F19" s="7"/>
      <c r="G19" s="7"/>
      <c r="H19" s="7"/>
      <c r="I19" s="80" t="s">
        <v>157</v>
      </c>
      <c r="J19" s="124">
        <v>72.91</v>
      </c>
      <c r="K19" s="125" t="s">
        <v>122</v>
      </c>
      <c r="L19" s="153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82" t="s">
        <v>158</v>
      </c>
      <c r="J20" s="120">
        <v>64.8</v>
      </c>
      <c r="K20" s="121" t="s">
        <v>156</v>
      </c>
      <c r="L20" s="83" t="s">
        <v>116</v>
      </c>
      <c r="M20" s="7"/>
      <c r="N20" s="7"/>
      <c r="O20" s="7"/>
    </row>
    <row r="21">
      <c r="E21" s="70" t="s">
        <v>22</v>
      </c>
      <c r="F21" s="2"/>
      <c r="H21" s="7"/>
      <c r="I21" s="80" t="s">
        <v>159</v>
      </c>
      <c r="J21" s="124">
        <v>73.31</v>
      </c>
      <c r="K21" s="125" t="s">
        <v>156</v>
      </c>
      <c r="L21" s="153" t="s">
        <v>116</v>
      </c>
      <c r="M21" s="7"/>
      <c r="N21" s="7"/>
    </row>
    <row r="22">
      <c r="E22" s="11" t="s">
        <v>23</v>
      </c>
      <c r="F22" s="2"/>
      <c r="H22" s="7"/>
      <c r="I22" s="82"/>
      <c r="J22" s="120"/>
      <c r="K22" s="155"/>
      <c r="L22" s="83"/>
      <c r="M22" s="7"/>
      <c r="N22" s="7"/>
    </row>
    <row r="23">
      <c r="E23" s="18" t="s">
        <v>134</v>
      </c>
      <c r="F23" s="143">
        <v>24.9</v>
      </c>
      <c r="H23" s="142"/>
      <c r="I23" s="102"/>
      <c r="J23" s="160"/>
      <c r="K23" s="161"/>
      <c r="L23" s="160"/>
      <c r="M23" s="7"/>
      <c r="N23" s="7"/>
    </row>
    <row r="24">
      <c r="E24" s="26" t="s">
        <v>135</v>
      </c>
      <c r="F24" s="144">
        <v>10.0</v>
      </c>
      <c r="H24" s="142"/>
      <c r="I24" s="63" t="s">
        <v>21</v>
      </c>
      <c r="J24" s="139">
        <f>SUM(J4:J23)</f>
        <v>2790.58</v>
      </c>
      <c r="K24" s="2"/>
      <c r="L24" s="7"/>
      <c r="M24" s="7"/>
      <c r="N24" s="7"/>
    </row>
    <row r="25">
      <c r="E25" s="32" t="s">
        <v>137</v>
      </c>
      <c r="F25" s="145">
        <v>139.9</v>
      </c>
      <c r="H25" s="142"/>
      <c r="I25" s="7"/>
      <c r="J25" s="7"/>
      <c r="K25" s="7"/>
      <c r="L25" s="7"/>
      <c r="M25" s="7"/>
      <c r="N25" s="7"/>
    </row>
    <row r="26">
      <c r="E26" s="26" t="s">
        <v>138</v>
      </c>
      <c r="F26" s="144">
        <v>59.9</v>
      </c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4:K24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.13"/>
    <col customWidth="1" min="4" max="4" width="2.75"/>
    <col customWidth="1" min="5" max="5" width="17.25"/>
    <col customWidth="1" min="6" max="6" width="10.13"/>
    <col customWidth="1" min="7" max="7" width="3.25"/>
    <col customWidth="1" min="8" max="8" width="2.13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38"/>
    <col customWidth="1" min="14" max="14" width="19.13"/>
    <col customWidth="1" min="16" max="16" width="3.38"/>
    <col customWidth="1" min="17" max="17" width="14.2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160</v>
      </c>
      <c r="B2" s="9"/>
      <c r="C2" s="10" t="s">
        <v>4</v>
      </c>
      <c r="D2" s="4"/>
      <c r="E2" s="8" t="s">
        <v>160</v>
      </c>
      <c r="F2" s="9"/>
      <c r="G2" s="7"/>
      <c r="H2" s="4"/>
      <c r="I2" s="8" t="s">
        <v>160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6</v>
      </c>
      <c r="B3" s="115">
        <v>119.9</v>
      </c>
      <c r="C3" s="15" t="s">
        <v>132</v>
      </c>
      <c r="D3" s="4"/>
      <c r="E3" s="16" t="s">
        <v>31</v>
      </c>
      <c r="F3" s="17">
        <v>1441.54</v>
      </c>
      <c r="G3" s="162" t="s">
        <v>132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11</v>
      </c>
      <c r="B4" s="118">
        <v>114.99</v>
      </c>
      <c r="C4" s="23" t="s">
        <v>132</v>
      </c>
      <c r="D4" s="4"/>
      <c r="E4" s="24" t="s">
        <v>32</v>
      </c>
      <c r="F4" s="118">
        <v>3651.96</v>
      </c>
      <c r="G4" s="162" t="s">
        <v>161</v>
      </c>
      <c r="H4" s="4"/>
      <c r="I4" s="82" t="s">
        <v>128</v>
      </c>
      <c r="J4" s="120">
        <v>645.33</v>
      </c>
      <c r="K4" s="121" t="s">
        <v>162</v>
      </c>
      <c r="L4" s="83" t="s">
        <v>141</v>
      </c>
      <c r="M4" s="4"/>
      <c r="N4" s="28">
        <f>B19</f>
        <v>7581.89</v>
      </c>
      <c r="O4" s="9"/>
      <c r="P4" s="7"/>
      <c r="Q4" s="29">
        <v>3700.0</v>
      </c>
    </row>
    <row r="5">
      <c r="A5" s="13" t="s">
        <v>13</v>
      </c>
      <c r="B5" s="115">
        <v>500.0</v>
      </c>
      <c r="C5" s="15" t="s">
        <v>132</v>
      </c>
      <c r="D5" s="4"/>
      <c r="E5" s="30" t="s">
        <v>163</v>
      </c>
      <c r="F5" s="31">
        <v>2000.0</v>
      </c>
      <c r="G5" s="162" t="s">
        <v>132</v>
      </c>
      <c r="H5" s="4"/>
      <c r="I5" s="80" t="s">
        <v>142</v>
      </c>
      <c r="J5" s="124">
        <v>115.0</v>
      </c>
      <c r="K5" s="125" t="s">
        <v>164</v>
      </c>
      <c r="L5" s="81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15</v>
      </c>
      <c r="B6" s="118">
        <v>1400.0</v>
      </c>
      <c r="C6" s="34" t="s">
        <v>132</v>
      </c>
      <c r="D6" s="4"/>
      <c r="E6" s="35"/>
      <c r="F6" s="36"/>
      <c r="G6" s="7"/>
      <c r="H6" s="4"/>
      <c r="I6" s="82" t="s">
        <v>144</v>
      </c>
      <c r="J6" s="120">
        <v>572.0</v>
      </c>
      <c r="K6" s="121" t="s">
        <v>122</v>
      </c>
      <c r="L6" s="86" t="s">
        <v>146</v>
      </c>
      <c r="M6" s="67"/>
      <c r="N6" s="28">
        <f>F18</f>
        <v>7093.5</v>
      </c>
      <c r="O6" s="9"/>
      <c r="P6" s="7"/>
      <c r="Q6" s="7"/>
      <c r="R6" s="7"/>
    </row>
    <row r="7">
      <c r="A7" s="43" t="s">
        <v>17</v>
      </c>
      <c r="B7" s="122">
        <v>2530.0</v>
      </c>
      <c r="C7" s="15" t="s">
        <v>132</v>
      </c>
      <c r="D7" s="4"/>
      <c r="E7" s="39"/>
      <c r="F7" s="40"/>
      <c r="G7" s="7"/>
      <c r="H7" s="4"/>
      <c r="I7" s="80" t="s">
        <v>118</v>
      </c>
      <c r="J7" s="124">
        <v>264.52</v>
      </c>
      <c r="K7" s="125" t="s">
        <v>165</v>
      </c>
      <c r="L7" s="81" t="s">
        <v>116</v>
      </c>
      <c r="N7" s="12" t="s">
        <v>16</v>
      </c>
      <c r="O7" s="9"/>
      <c r="P7" s="7"/>
      <c r="Q7" s="7"/>
      <c r="R7" s="7"/>
    </row>
    <row r="8">
      <c r="A8" s="41" t="s">
        <v>43</v>
      </c>
      <c r="B8" s="118">
        <v>17.0</v>
      </c>
      <c r="C8" s="34" t="s">
        <v>132</v>
      </c>
      <c r="D8" s="4"/>
      <c r="E8" s="35"/>
      <c r="F8" s="36"/>
      <c r="G8" s="7"/>
      <c r="H8" s="4"/>
      <c r="I8" s="82" t="s">
        <v>114</v>
      </c>
      <c r="J8" s="120">
        <v>142.4</v>
      </c>
      <c r="K8" s="121" t="s">
        <v>165</v>
      </c>
      <c r="L8" s="83" t="s">
        <v>116</v>
      </c>
      <c r="M8" s="7"/>
      <c r="N8" s="42">
        <v>0.0</v>
      </c>
      <c r="P8" s="7"/>
      <c r="Q8" s="7"/>
      <c r="R8" s="7"/>
    </row>
    <row r="9">
      <c r="A9" s="43" t="s">
        <v>123</v>
      </c>
      <c r="B9" s="122">
        <v>1500.0</v>
      </c>
      <c r="C9" s="15" t="s">
        <v>132</v>
      </c>
      <c r="D9" s="4"/>
      <c r="E9" s="39"/>
      <c r="F9" s="44"/>
      <c r="G9" s="7"/>
      <c r="H9" s="4"/>
      <c r="I9" s="80" t="s">
        <v>119</v>
      </c>
      <c r="J9" s="124">
        <v>175.44</v>
      </c>
      <c r="K9" s="125" t="s">
        <v>147</v>
      </c>
      <c r="L9" s="153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127</v>
      </c>
      <c r="B10" s="118">
        <v>572.0</v>
      </c>
      <c r="C10" s="34" t="s">
        <v>132</v>
      </c>
      <c r="D10" s="4"/>
      <c r="E10" s="35"/>
      <c r="F10" s="45"/>
      <c r="G10" s="7"/>
      <c r="H10" s="4"/>
      <c r="I10" s="82" t="s">
        <v>119</v>
      </c>
      <c r="J10" s="120">
        <v>137.99</v>
      </c>
      <c r="K10" s="121" t="s">
        <v>147</v>
      </c>
      <c r="L10" s="83" t="s">
        <v>116</v>
      </c>
      <c r="M10" s="7"/>
      <c r="N10" s="87">
        <v>0.0</v>
      </c>
      <c r="P10" s="7"/>
      <c r="Q10" s="7"/>
      <c r="R10" s="7"/>
    </row>
    <row r="11">
      <c r="A11" s="47" t="s">
        <v>129</v>
      </c>
      <c r="B11" s="115">
        <v>442.0</v>
      </c>
      <c r="C11" s="15" t="s">
        <v>132</v>
      </c>
      <c r="D11" s="4"/>
      <c r="E11" s="4"/>
      <c r="F11" s="48"/>
      <c r="G11" s="7"/>
      <c r="H11" s="4"/>
      <c r="I11" s="80" t="s">
        <v>121</v>
      </c>
      <c r="J11" s="124">
        <v>61.0</v>
      </c>
      <c r="K11" s="125" t="s">
        <v>140</v>
      </c>
      <c r="L11" s="153" t="s">
        <v>116</v>
      </c>
      <c r="M11" s="7"/>
      <c r="N11" s="7"/>
      <c r="O11" s="7"/>
      <c r="P11" s="7"/>
      <c r="Q11" s="7"/>
      <c r="R11" s="7"/>
    </row>
    <row r="12">
      <c r="A12" s="41" t="s">
        <v>148</v>
      </c>
      <c r="B12" s="154">
        <v>46.0</v>
      </c>
      <c r="C12" s="34" t="s">
        <v>161</v>
      </c>
      <c r="D12" s="4"/>
      <c r="E12" s="35"/>
      <c r="F12" s="45"/>
      <c r="G12" s="7"/>
      <c r="H12" s="4"/>
      <c r="I12" s="82" t="s">
        <v>150</v>
      </c>
      <c r="J12" s="120">
        <v>24.87</v>
      </c>
      <c r="K12" s="121" t="s">
        <v>166</v>
      </c>
      <c r="L12" s="83" t="s">
        <v>116</v>
      </c>
      <c r="M12" s="7"/>
      <c r="N12" s="7"/>
      <c r="O12" s="7"/>
      <c r="P12" s="7"/>
      <c r="Q12" s="7"/>
      <c r="R12" s="7"/>
    </row>
    <row r="13">
      <c r="A13" s="47" t="s">
        <v>167</v>
      </c>
      <c r="B13" s="156">
        <v>340.0</v>
      </c>
      <c r="C13" s="15" t="s">
        <v>132</v>
      </c>
      <c r="D13" s="4"/>
      <c r="E13" s="4"/>
      <c r="F13" s="48"/>
      <c r="G13" s="7"/>
      <c r="H13" s="4"/>
      <c r="I13" s="80" t="s">
        <v>151</v>
      </c>
      <c r="J13" s="124">
        <v>62.49</v>
      </c>
      <c r="K13" s="125" t="s">
        <v>168</v>
      </c>
      <c r="L13" s="81" t="s">
        <v>116</v>
      </c>
      <c r="M13" s="7"/>
      <c r="N13" s="7"/>
      <c r="O13" s="7"/>
      <c r="P13" s="7"/>
      <c r="Q13" s="7"/>
      <c r="R13" s="7"/>
    </row>
    <row r="14">
      <c r="A14" s="41"/>
      <c r="B14" s="154"/>
      <c r="C14" s="34"/>
      <c r="D14" s="4"/>
      <c r="E14" s="35"/>
      <c r="F14" s="45"/>
      <c r="G14" s="7"/>
      <c r="H14" s="4"/>
      <c r="I14" s="82" t="s">
        <v>152</v>
      </c>
      <c r="J14" s="120">
        <v>55.42</v>
      </c>
      <c r="K14" s="121" t="s">
        <v>169</v>
      </c>
      <c r="L14" s="83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 t="s">
        <v>153</v>
      </c>
      <c r="J15" s="124">
        <v>79.92</v>
      </c>
      <c r="K15" s="125" t="s">
        <v>140</v>
      </c>
      <c r="L15" s="81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 t="s">
        <v>154</v>
      </c>
      <c r="J16" s="120">
        <v>52.38</v>
      </c>
      <c r="K16" s="121" t="s">
        <v>170</v>
      </c>
      <c r="L16" s="83" t="s">
        <v>116</v>
      </c>
      <c r="M16" s="7"/>
      <c r="N16" s="7"/>
    </row>
    <row r="17">
      <c r="A17" s="13"/>
      <c r="B17" s="48"/>
      <c r="C17" s="53"/>
      <c r="D17" s="4"/>
      <c r="E17" s="4"/>
      <c r="F17" s="48"/>
      <c r="G17" s="7"/>
      <c r="H17" s="4"/>
      <c r="I17" s="102" t="s">
        <v>155</v>
      </c>
      <c r="J17" s="158">
        <v>71.8</v>
      </c>
      <c r="K17" s="163" t="s">
        <v>170</v>
      </c>
      <c r="L17" s="103" t="s">
        <v>116</v>
      </c>
      <c r="M17" s="7"/>
      <c r="N17" s="7"/>
    </row>
    <row r="18">
      <c r="A18" s="21"/>
      <c r="B18" s="45"/>
      <c r="C18" s="56"/>
      <c r="D18" s="4"/>
      <c r="E18" s="61" t="s">
        <v>21</v>
      </c>
      <c r="F18" s="62">
        <f>SUM(F3:F17)</f>
        <v>7093.5</v>
      </c>
      <c r="G18" s="7"/>
      <c r="H18" s="7"/>
      <c r="I18" s="82" t="s">
        <v>157</v>
      </c>
      <c r="J18" s="120">
        <v>72.91</v>
      </c>
      <c r="K18" s="121" t="s">
        <v>140</v>
      </c>
      <c r="L18" s="86" t="s">
        <v>116</v>
      </c>
      <c r="M18" s="7"/>
      <c r="N18" s="7"/>
    </row>
    <row r="19">
      <c r="A19" s="63" t="s">
        <v>21</v>
      </c>
      <c r="B19" s="95">
        <f>SUM(B3:B18)</f>
        <v>7581.89</v>
      </c>
      <c r="C19" s="7"/>
      <c r="D19" s="7"/>
      <c r="E19" s="7"/>
      <c r="F19" s="7"/>
      <c r="G19" s="7"/>
      <c r="H19" s="7"/>
      <c r="I19" s="80" t="s">
        <v>158</v>
      </c>
      <c r="J19" s="124">
        <v>64.8</v>
      </c>
      <c r="K19" s="125" t="s">
        <v>170</v>
      </c>
      <c r="L19" s="81" t="s">
        <v>116</v>
      </c>
      <c r="M19" s="7"/>
      <c r="N19" s="7"/>
    </row>
    <row r="20">
      <c r="A20" s="7"/>
      <c r="B20" s="7"/>
      <c r="C20" s="7"/>
      <c r="D20" s="7"/>
      <c r="E20" s="7"/>
      <c r="F20" s="7"/>
      <c r="G20" s="7"/>
      <c r="H20" s="7"/>
      <c r="I20" s="82" t="s">
        <v>159</v>
      </c>
      <c r="J20" s="120">
        <v>73.31</v>
      </c>
      <c r="K20" s="121" t="s">
        <v>170</v>
      </c>
      <c r="L20" s="86" t="s">
        <v>116</v>
      </c>
      <c r="M20" s="7"/>
      <c r="N20" s="7"/>
    </row>
    <row r="21">
      <c r="E21" s="70" t="s">
        <v>22</v>
      </c>
      <c r="F21" s="2"/>
      <c r="H21" s="7"/>
      <c r="I21" s="80"/>
      <c r="J21" s="124"/>
      <c r="K21" s="125"/>
      <c r="L21" s="153"/>
      <c r="M21" s="7"/>
      <c r="N21" s="7"/>
    </row>
    <row r="22">
      <c r="E22" s="11" t="s">
        <v>23</v>
      </c>
      <c r="F22" s="2"/>
      <c r="H22" s="7"/>
      <c r="I22" s="82"/>
      <c r="J22" s="120"/>
      <c r="K22" s="121"/>
      <c r="L22" s="83"/>
      <c r="M22" s="7"/>
      <c r="N22" s="7"/>
    </row>
    <row r="23">
      <c r="E23" s="18" t="s">
        <v>134</v>
      </c>
      <c r="F23" s="143">
        <v>24.9</v>
      </c>
      <c r="H23" s="142"/>
      <c r="I23" s="102"/>
      <c r="J23" s="160"/>
      <c r="K23" s="164"/>
      <c r="L23" s="160"/>
      <c r="M23" s="7"/>
      <c r="N23" s="7"/>
    </row>
    <row r="24">
      <c r="E24" s="26" t="s">
        <v>135</v>
      </c>
      <c r="F24" s="144">
        <v>10.0</v>
      </c>
      <c r="H24" s="142"/>
      <c r="I24" s="63" t="s">
        <v>21</v>
      </c>
      <c r="J24" s="139">
        <f>SUM(J4:J23)</f>
        <v>2671.58</v>
      </c>
      <c r="K24" s="2"/>
      <c r="L24" s="7"/>
      <c r="M24" s="7"/>
      <c r="N24" s="7"/>
    </row>
    <row r="25">
      <c r="E25" s="32" t="s">
        <v>137</v>
      </c>
      <c r="F25" s="145">
        <v>139.9</v>
      </c>
      <c r="H25" s="142"/>
      <c r="I25" s="142"/>
      <c r="J25" s="142"/>
      <c r="K25" s="142"/>
      <c r="L25" s="142"/>
      <c r="M25" s="7"/>
      <c r="N25" s="7"/>
    </row>
    <row r="26">
      <c r="E26" s="26" t="s">
        <v>138</v>
      </c>
      <c r="F26" s="144">
        <v>59.9</v>
      </c>
      <c r="H26" s="142"/>
      <c r="I26" s="142"/>
      <c r="J26" s="142"/>
      <c r="K26" s="142"/>
      <c r="L26" s="142"/>
      <c r="M26" s="7"/>
      <c r="N26" s="7"/>
    </row>
    <row r="27">
      <c r="E27" s="32"/>
      <c r="F27" s="145"/>
      <c r="H27" s="142"/>
      <c r="I27" s="142"/>
      <c r="J27" s="142"/>
      <c r="K27" s="142"/>
      <c r="L27" s="142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4:K24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5.75"/>
    <col customWidth="1" min="4" max="4" width="3.25"/>
    <col customWidth="1" min="5" max="5" width="17.25"/>
    <col customWidth="1" min="6" max="6" width="10.13"/>
    <col customWidth="1" min="7" max="7" width="2.75"/>
    <col customWidth="1" min="8" max="8" width="2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2.63"/>
    <col customWidth="1" min="14" max="14" width="19.13"/>
    <col customWidth="1" min="16" max="16" width="3.25"/>
    <col customWidth="1" min="17" max="17" width="14.25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171</v>
      </c>
      <c r="B2" s="9"/>
      <c r="C2" s="10" t="s">
        <v>4</v>
      </c>
      <c r="D2" s="4"/>
      <c r="E2" s="8" t="s">
        <v>171</v>
      </c>
      <c r="F2" s="9"/>
      <c r="G2" s="7"/>
      <c r="H2" s="4"/>
      <c r="I2" s="8" t="s">
        <v>171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6</v>
      </c>
      <c r="B3" s="115">
        <v>119.9</v>
      </c>
      <c r="C3" s="15" t="s">
        <v>7</v>
      </c>
      <c r="D3" s="4"/>
      <c r="E3" s="16" t="s">
        <v>31</v>
      </c>
      <c r="F3" s="17">
        <v>4876.92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11</v>
      </c>
      <c r="B4" s="118">
        <v>5.0</v>
      </c>
      <c r="C4" s="23" t="s">
        <v>7</v>
      </c>
      <c r="D4" s="4"/>
      <c r="E4" s="24" t="s">
        <v>32</v>
      </c>
      <c r="F4" s="25">
        <v>3059.79</v>
      </c>
      <c r="G4" s="7"/>
      <c r="H4" s="4"/>
      <c r="I4" s="82" t="s">
        <v>128</v>
      </c>
      <c r="J4" s="120">
        <v>645.33</v>
      </c>
      <c r="K4" s="121" t="s">
        <v>172</v>
      </c>
      <c r="L4" s="83" t="s">
        <v>141</v>
      </c>
      <c r="M4" s="4"/>
      <c r="N4" s="28">
        <f>B19</f>
        <v>11550.75</v>
      </c>
      <c r="O4" s="9"/>
      <c r="P4" s="7"/>
      <c r="Q4" s="85">
        <f>N6-N4+N8+N10</f>
        <v>85.96</v>
      </c>
    </row>
    <row r="5">
      <c r="A5" s="13" t="s">
        <v>13</v>
      </c>
      <c r="B5" s="115">
        <v>500.0</v>
      </c>
      <c r="C5" s="15" t="s">
        <v>7</v>
      </c>
      <c r="D5" s="4"/>
      <c r="E5" s="30"/>
      <c r="F5" s="31"/>
      <c r="G5" s="7"/>
      <c r="H5" s="4"/>
      <c r="I5" s="80" t="s">
        <v>142</v>
      </c>
      <c r="J5" s="124">
        <v>115.0</v>
      </c>
      <c r="K5" s="125" t="s">
        <v>173</v>
      </c>
      <c r="L5" s="81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15</v>
      </c>
      <c r="B6" s="118">
        <v>1480.0</v>
      </c>
      <c r="C6" s="34" t="s">
        <v>7</v>
      </c>
      <c r="D6" s="4"/>
      <c r="E6" s="35"/>
      <c r="F6" s="36"/>
      <c r="G6" s="7"/>
      <c r="H6" s="4"/>
      <c r="I6" s="82" t="s">
        <v>144</v>
      </c>
      <c r="J6" s="120">
        <v>572.0</v>
      </c>
      <c r="K6" s="121" t="s">
        <v>140</v>
      </c>
      <c r="L6" s="86" t="s">
        <v>146</v>
      </c>
      <c r="M6" s="67"/>
      <c r="N6" s="28">
        <f>F18</f>
        <v>7936.71</v>
      </c>
      <c r="O6" s="9"/>
      <c r="P6" s="7"/>
      <c r="Q6" s="7"/>
      <c r="R6" s="7"/>
    </row>
    <row r="7">
      <c r="A7" s="43" t="s">
        <v>17</v>
      </c>
      <c r="B7" s="122">
        <v>2550.0</v>
      </c>
      <c r="C7" s="15" t="s">
        <v>132</v>
      </c>
      <c r="D7" s="4"/>
      <c r="E7" s="39"/>
      <c r="F7" s="40"/>
      <c r="G7" s="7"/>
      <c r="H7" s="4"/>
      <c r="I7" s="80" t="s">
        <v>118</v>
      </c>
      <c r="J7" s="124">
        <v>264.52</v>
      </c>
      <c r="K7" s="125" t="s">
        <v>174</v>
      </c>
      <c r="L7" s="81" t="s">
        <v>116</v>
      </c>
      <c r="N7" s="12" t="s">
        <v>16</v>
      </c>
      <c r="O7" s="9"/>
      <c r="P7" s="7"/>
      <c r="Q7" s="7"/>
      <c r="R7" s="7"/>
    </row>
    <row r="8">
      <c r="A8" s="41" t="s">
        <v>123</v>
      </c>
      <c r="B8" s="118">
        <v>2869.66</v>
      </c>
      <c r="C8" s="34" t="s">
        <v>7</v>
      </c>
      <c r="D8" s="4"/>
      <c r="E8" s="35"/>
      <c r="F8" s="36"/>
      <c r="G8" s="7"/>
      <c r="H8" s="4"/>
      <c r="I8" s="82" t="s">
        <v>114</v>
      </c>
      <c r="J8" s="120">
        <v>142.4</v>
      </c>
      <c r="K8" s="121" t="s">
        <v>174</v>
      </c>
      <c r="L8" s="83" t="s">
        <v>116</v>
      </c>
      <c r="M8" s="7"/>
      <c r="N8" s="42">
        <f>Outubro!Q4</f>
        <v>3700</v>
      </c>
      <c r="P8" s="7"/>
      <c r="Q8" s="7"/>
      <c r="R8" s="7"/>
    </row>
    <row r="9">
      <c r="A9" s="43" t="s">
        <v>127</v>
      </c>
      <c r="B9" s="122">
        <v>572.0</v>
      </c>
      <c r="C9" s="15" t="s">
        <v>7</v>
      </c>
      <c r="D9" s="4"/>
      <c r="E9" s="39"/>
      <c r="F9" s="44"/>
      <c r="G9" s="7"/>
      <c r="H9" s="4"/>
      <c r="I9" s="80" t="s">
        <v>119</v>
      </c>
      <c r="J9" s="124">
        <v>175.44</v>
      </c>
      <c r="K9" s="125" t="s">
        <v>165</v>
      </c>
      <c r="L9" s="153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129</v>
      </c>
      <c r="B10" s="118">
        <v>464.21</v>
      </c>
      <c r="C10" s="34" t="s">
        <v>7</v>
      </c>
      <c r="D10" s="4"/>
      <c r="E10" s="35"/>
      <c r="F10" s="45"/>
      <c r="G10" s="7"/>
      <c r="H10" s="4"/>
      <c r="I10" s="82" t="s">
        <v>119</v>
      </c>
      <c r="J10" s="120">
        <v>137.99</v>
      </c>
      <c r="K10" s="121" t="s">
        <v>165</v>
      </c>
      <c r="L10" s="83" t="s">
        <v>116</v>
      </c>
      <c r="M10" s="7"/>
      <c r="N10" s="87">
        <v>0.0</v>
      </c>
      <c r="P10" s="7"/>
      <c r="Q10" s="7"/>
      <c r="R10" s="7"/>
    </row>
    <row r="11">
      <c r="A11" s="47" t="s">
        <v>148</v>
      </c>
      <c r="B11" s="115">
        <v>48.98</v>
      </c>
      <c r="C11" s="15" t="s">
        <v>7</v>
      </c>
      <c r="D11" s="4"/>
      <c r="E11" s="4"/>
      <c r="F11" s="48"/>
      <c r="G11" s="7"/>
      <c r="H11" s="4"/>
      <c r="I11" s="80" t="s">
        <v>121</v>
      </c>
      <c r="J11" s="124">
        <v>61.0</v>
      </c>
      <c r="K11" s="125" t="s">
        <v>162</v>
      </c>
      <c r="L11" s="153" t="s">
        <v>116</v>
      </c>
      <c r="M11" s="7"/>
      <c r="N11" s="7"/>
      <c r="O11" s="7"/>
      <c r="P11" s="7"/>
      <c r="Q11" s="7"/>
      <c r="R11" s="7"/>
    </row>
    <row r="12">
      <c r="A12" s="41" t="s">
        <v>175</v>
      </c>
      <c r="B12" s="154">
        <v>750.0</v>
      </c>
      <c r="C12" s="34" t="s">
        <v>7</v>
      </c>
      <c r="D12" s="4"/>
      <c r="E12" s="35"/>
      <c r="F12" s="45"/>
      <c r="G12" s="7"/>
      <c r="H12" s="4"/>
      <c r="I12" s="82" t="s">
        <v>150</v>
      </c>
      <c r="J12" s="120">
        <v>24.87</v>
      </c>
      <c r="K12" s="121" t="s">
        <v>176</v>
      </c>
      <c r="L12" s="83" t="s">
        <v>116</v>
      </c>
      <c r="M12" s="7"/>
      <c r="N12" s="7"/>
      <c r="O12" s="7"/>
      <c r="P12" s="7"/>
      <c r="Q12" s="7"/>
      <c r="R12" s="7"/>
    </row>
    <row r="13">
      <c r="A13" s="47" t="s">
        <v>131</v>
      </c>
      <c r="B13" s="156">
        <v>791.0</v>
      </c>
      <c r="C13" s="15" t="s">
        <v>7</v>
      </c>
      <c r="D13" s="4"/>
      <c r="E13" s="4"/>
      <c r="F13" s="48"/>
      <c r="G13" s="7"/>
      <c r="H13" s="4"/>
      <c r="I13" s="80" t="s">
        <v>151</v>
      </c>
      <c r="J13" s="124">
        <v>62.49</v>
      </c>
      <c r="K13" s="125" t="s">
        <v>177</v>
      </c>
      <c r="L13" s="81" t="s">
        <v>116</v>
      </c>
      <c r="M13" s="7"/>
      <c r="N13" s="7"/>
      <c r="O13" s="7"/>
      <c r="P13" s="7"/>
      <c r="Q13" s="7"/>
      <c r="R13" s="7"/>
    </row>
    <row r="14">
      <c r="A14" s="41" t="s">
        <v>131</v>
      </c>
      <c r="B14" s="154">
        <v>150.0</v>
      </c>
      <c r="C14" s="34" t="s">
        <v>7</v>
      </c>
      <c r="D14" s="4"/>
      <c r="E14" s="35"/>
      <c r="F14" s="45"/>
      <c r="G14" s="7"/>
      <c r="H14" s="4"/>
      <c r="I14" s="82" t="s">
        <v>152</v>
      </c>
      <c r="J14" s="120">
        <v>55.42</v>
      </c>
      <c r="K14" s="121" t="s">
        <v>178</v>
      </c>
      <c r="L14" s="83" t="s">
        <v>116</v>
      </c>
      <c r="M14" s="7"/>
      <c r="N14" s="7"/>
      <c r="O14" s="7"/>
      <c r="P14" s="7"/>
      <c r="Q14" s="7"/>
      <c r="R14" s="7"/>
    </row>
    <row r="15">
      <c r="A15" s="47" t="s">
        <v>131</v>
      </c>
      <c r="B15" s="156">
        <v>500.0</v>
      </c>
      <c r="C15" s="15" t="s">
        <v>7</v>
      </c>
      <c r="D15" s="4"/>
      <c r="E15" s="4"/>
      <c r="F15" s="48"/>
      <c r="G15" s="7"/>
      <c r="H15" s="4"/>
      <c r="I15" s="80" t="s">
        <v>153</v>
      </c>
      <c r="J15" s="124">
        <v>79.92</v>
      </c>
      <c r="K15" s="125" t="s">
        <v>162</v>
      </c>
      <c r="L15" s="81" t="s">
        <v>116</v>
      </c>
      <c r="M15" s="7"/>
      <c r="N15" s="7"/>
      <c r="O15" s="7"/>
      <c r="P15" s="7"/>
      <c r="Q15" s="7"/>
      <c r="R15" s="7"/>
    </row>
    <row r="16">
      <c r="A16" s="41" t="s">
        <v>131</v>
      </c>
      <c r="B16" s="154">
        <v>750.0</v>
      </c>
      <c r="C16" s="34" t="s">
        <v>7</v>
      </c>
      <c r="D16" s="4"/>
      <c r="E16" s="35"/>
      <c r="F16" s="45"/>
      <c r="G16" s="7"/>
      <c r="H16" s="4"/>
      <c r="I16" s="82" t="s">
        <v>154</v>
      </c>
      <c r="J16" s="120">
        <v>52.38</v>
      </c>
      <c r="K16" s="121" t="s">
        <v>179</v>
      </c>
      <c r="L16" s="83" t="s">
        <v>116</v>
      </c>
      <c r="M16" s="7"/>
      <c r="N16" s="7"/>
      <c r="O16" s="7"/>
      <c r="P16" s="7"/>
      <c r="Q16" s="7"/>
      <c r="R16" s="7"/>
    </row>
    <row r="17">
      <c r="A17" s="47"/>
      <c r="B17" s="156"/>
      <c r="C17" s="53"/>
      <c r="D17" s="4"/>
      <c r="E17" s="4"/>
      <c r="F17" s="48"/>
      <c r="G17" s="7"/>
      <c r="H17" s="4"/>
      <c r="I17" s="102" t="s">
        <v>155</v>
      </c>
      <c r="J17" s="158">
        <v>71.8</v>
      </c>
      <c r="K17" s="163" t="s">
        <v>179</v>
      </c>
      <c r="L17" s="103" t="s">
        <v>116</v>
      </c>
      <c r="M17" s="7"/>
      <c r="N17" s="7"/>
      <c r="O17" s="7"/>
      <c r="P17" s="7"/>
      <c r="Q17" s="7"/>
      <c r="R17" s="7"/>
    </row>
    <row r="18">
      <c r="A18" s="21"/>
      <c r="B18" s="45"/>
      <c r="C18" s="56"/>
      <c r="D18" s="4"/>
      <c r="E18" s="61" t="s">
        <v>21</v>
      </c>
      <c r="F18" s="62">
        <f>SUM(F3:F17)</f>
        <v>7936.71</v>
      </c>
      <c r="G18" s="7"/>
      <c r="H18" s="7"/>
      <c r="I18" s="82" t="s">
        <v>157</v>
      </c>
      <c r="J18" s="120">
        <v>72.91</v>
      </c>
      <c r="K18" s="121" t="s">
        <v>162</v>
      </c>
      <c r="L18" s="86" t="s">
        <v>116</v>
      </c>
      <c r="M18" s="7"/>
      <c r="N18" s="7"/>
      <c r="O18" s="7"/>
      <c r="P18" s="7"/>
      <c r="Q18" s="7"/>
      <c r="R18" s="7"/>
    </row>
    <row r="19">
      <c r="A19" s="63" t="s">
        <v>21</v>
      </c>
      <c r="B19" s="95">
        <f>SUM(B3:B18)</f>
        <v>11550.75</v>
      </c>
      <c r="C19" s="7"/>
      <c r="D19" s="7"/>
      <c r="E19" s="7"/>
      <c r="F19" s="7"/>
      <c r="G19" s="7"/>
      <c r="H19" s="7"/>
      <c r="I19" s="80" t="s">
        <v>158</v>
      </c>
      <c r="J19" s="124">
        <v>64.8</v>
      </c>
      <c r="K19" s="125" t="s">
        <v>179</v>
      </c>
      <c r="L19" s="81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82" t="s">
        <v>159</v>
      </c>
      <c r="J20" s="120">
        <v>73.31</v>
      </c>
      <c r="K20" s="121" t="s">
        <v>179</v>
      </c>
      <c r="L20" s="86" t="s">
        <v>116</v>
      </c>
      <c r="M20" s="7"/>
      <c r="N20" s="7"/>
      <c r="O20" s="7"/>
    </row>
    <row r="21">
      <c r="E21" s="70" t="s">
        <v>22</v>
      </c>
      <c r="F21" s="2"/>
      <c r="H21" s="7"/>
      <c r="I21" s="80" t="s">
        <v>180</v>
      </c>
      <c r="J21" s="124">
        <v>77.49</v>
      </c>
      <c r="K21" s="125" t="s">
        <v>181</v>
      </c>
      <c r="L21" s="153" t="s">
        <v>141</v>
      </c>
      <c r="M21" s="7"/>
      <c r="N21" s="7"/>
    </row>
    <row r="22">
      <c r="E22" s="11" t="s">
        <v>23</v>
      </c>
      <c r="F22" s="2"/>
      <c r="H22" s="7"/>
      <c r="I22" s="82"/>
      <c r="J22" s="120"/>
      <c r="K22" s="121"/>
      <c r="L22" s="83"/>
      <c r="M22" s="7"/>
      <c r="N22" s="7"/>
    </row>
    <row r="23">
      <c r="E23" s="18" t="s">
        <v>134</v>
      </c>
      <c r="F23" s="143">
        <v>24.9</v>
      </c>
      <c r="H23" s="142"/>
      <c r="I23" s="102"/>
      <c r="J23" s="160"/>
      <c r="K23" s="164"/>
      <c r="L23" s="160"/>
      <c r="M23" s="7"/>
      <c r="N23" s="7"/>
    </row>
    <row r="24">
      <c r="E24" s="26" t="s">
        <v>135</v>
      </c>
      <c r="F24" s="144">
        <v>10.0</v>
      </c>
      <c r="H24" s="142"/>
      <c r="I24" s="63" t="s">
        <v>21</v>
      </c>
      <c r="J24" s="139">
        <f>SUM(J4:J23)</f>
        <v>2749.07</v>
      </c>
      <c r="K24" s="2"/>
      <c r="L24" s="7"/>
      <c r="M24" s="7"/>
      <c r="N24" s="7"/>
    </row>
    <row r="25">
      <c r="E25" s="32" t="s">
        <v>137</v>
      </c>
      <c r="F25" s="145">
        <v>139.9</v>
      </c>
      <c r="H25" s="142"/>
      <c r="I25" s="142"/>
      <c r="J25" s="142"/>
      <c r="K25" s="142"/>
      <c r="L25" s="142"/>
      <c r="M25" s="7"/>
      <c r="N25" s="7"/>
    </row>
    <row r="26">
      <c r="E26" s="26" t="s">
        <v>138</v>
      </c>
      <c r="F26" s="144">
        <v>59.9</v>
      </c>
      <c r="H26" s="142"/>
      <c r="I26" s="142"/>
      <c r="J26" s="142"/>
      <c r="K26" s="142"/>
      <c r="L26" s="142"/>
      <c r="M26" s="7"/>
      <c r="N26" s="7"/>
    </row>
    <row r="27">
      <c r="E27" s="32"/>
      <c r="F27" s="145"/>
      <c r="H27" s="142"/>
      <c r="I27" s="142"/>
      <c r="J27" s="142"/>
      <c r="K27" s="142"/>
      <c r="L27" s="142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4:K24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5.75"/>
    <col customWidth="1" min="4" max="4" width="2.88"/>
    <col customWidth="1" min="5" max="5" width="17.25"/>
    <col customWidth="1" min="6" max="6" width="10.13"/>
    <col customWidth="1" min="7" max="7" width="3.25"/>
    <col customWidth="1" min="8" max="8" width="3.13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2.63"/>
    <col customWidth="1" min="14" max="14" width="19.13"/>
    <col customWidth="1" min="16" max="17" width="6.0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182</v>
      </c>
      <c r="B2" s="9"/>
      <c r="C2" s="10" t="s">
        <v>4</v>
      </c>
      <c r="D2" s="4"/>
      <c r="E2" s="8" t="s">
        <v>182</v>
      </c>
      <c r="F2" s="9"/>
      <c r="G2" s="7"/>
      <c r="H2" s="4"/>
      <c r="I2" s="8" t="s">
        <v>182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3128.68</v>
      </c>
      <c r="C3" s="15" t="s">
        <v>7</v>
      </c>
      <c r="D3" s="4"/>
      <c r="E3" s="16" t="s">
        <v>31</v>
      </c>
      <c r="F3" s="17">
        <v>4876.92</v>
      </c>
      <c r="G3" s="162" t="s">
        <v>7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2272.0</v>
      </c>
      <c r="C4" s="23" t="s">
        <v>7</v>
      </c>
      <c r="D4" s="4"/>
      <c r="E4" s="24" t="s">
        <v>32</v>
      </c>
      <c r="F4" s="25">
        <v>3059.79</v>
      </c>
      <c r="G4" s="162" t="s">
        <v>7</v>
      </c>
      <c r="H4" s="4"/>
      <c r="I4" s="82" t="s">
        <v>128</v>
      </c>
      <c r="J4" s="120">
        <v>645.33</v>
      </c>
      <c r="K4" s="121" t="s">
        <v>183</v>
      </c>
      <c r="L4" s="83" t="s">
        <v>141</v>
      </c>
      <c r="M4" s="4"/>
      <c r="N4" s="28">
        <f>B19</f>
        <v>9616.75</v>
      </c>
      <c r="O4" s="9"/>
      <c r="P4" s="7"/>
      <c r="Q4" s="29">
        <v>0.0</v>
      </c>
    </row>
    <row r="5">
      <c r="A5" s="47" t="s">
        <v>127</v>
      </c>
      <c r="B5" s="115">
        <v>572.0</v>
      </c>
      <c r="C5" s="15" t="s">
        <v>7</v>
      </c>
      <c r="D5" s="4"/>
      <c r="E5" s="30" t="s">
        <v>184</v>
      </c>
      <c r="F5" s="31">
        <v>2653.95</v>
      </c>
      <c r="G5" s="162" t="s">
        <v>7</v>
      </c>
      <c r="H5" s="4"/>
      <c r="I5" s="80" t="s">
        <v>144</v>
      </c>
      <c r="J5" s="124">
        <v>572.0</v>
      </c>
      <c r="K5" s="125" t="s">
        <v>162</v>
      </c>
      <c r="L5" s="153" t="s">
        <v>146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82" t="s">
        <v>119</v>
      </c>
      <c r="J6" s="120">
        <v>175.44</v>
      </c>
      <c r="K6" s="121" t="s">
        <v>174</v>
      </c>
      <c r="L6" s="86" t="s">
        <v>116</v>
      </c>
      <c r="M6" s="67"/>
      <c r="N6" s="28">
        <f>F18</f>
        <v>10590.66</v>
      </c>
      <c r="O6" s="9"/>
      <c r="P6" s="7"/>
      <c r="Q6" s="7"/>
      <c r="R6" s="7"/>
    </row>
    <row r="7">
      <c r="A7" s="37" t="s">
        <v>15</v>
      </c>
      <c r="B7" s="122">
        <v>1500.0</v>
      </c>
      <c r="C7" s="15" t="s">
        <v>7</v>
      </c>
      <c r="D7" s="4"/>
      <c r="E7" s="39"/>
      <c r="F7" s="40"/>
      <c r="G7" s="7"/>
      <c r="H7" s="4"/>
      <c r="I7" s="80" t="s">
        <v>119</v>
      </c>
      <c r="J7" s="124">
        <v>137.99</v>
      </c>
      <c r="K7" s="125" t="s">
        <v>174</v>
      </c>
      <c r="L7" s="81" t="s">
        <v>116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82" t="s">
        <v>121</v>
      </c>
      <c r="J8" s="120">
        <v>61.0</v>
      </c>
      <c r="K8" s="121" t="s">
        <v>172</v>
      </c>
      <c r="L8" s="86" t="s">
        <v>116</v>
      </c>
      <c r="M8" s="7"/>
      <c r="N8" s="42">
        <v>135.0</v>
      </c>
      <c r="P8" s="7"/>
      <c r="Q8" s="7"/>
      <c r="R8" s="7"/>
    </row>
    <row r="9">
      <c r="A9" s="43" t="s">
        <v>129</v>
      </c>
      <c r="B9" s="122">
        <v>461.62</v>
      </c>
      <c r="C9" s="15" t="s">
        <v>7</v>
      </c>
      <c r="D9" s="4"/>
      <c r="E9" s="39"/>
      <c r="F9" s="44"/>
      <c r="G9" s="7"/>
      <c r="H9" s="4"/>
      <c r="I9" s="80" t="s">
        <v>150</v>
      </c>
      <c r="J9" s="124">
        <v>24.87</v>
      </c>
      <c r="K9" s="125" t="s">
        <v>185</v>
      </c>
      <c r="L9" s="81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44.67</v>
      </c>
      <c r="C10" s="34" t="s">
        <v>7</v>
      </c>
      <c r="D10" s="4"/>
      <c r="E10" s="35"/>
      <c r="F10" s="45"/>
      <c r="G10" s="7"/>
      <c r="H10" s="4"/>
      <c r="I10" s="82" t="s">
        <v>152</v>
      </c>
      <c r="J10" s="120">
        <v>55.42</v>
      </c>
      <c r="K10" s="121" t="s">
        <v>186</v>
      </c>
      <c r="L10" s="83" t="s">
        <v>116</v>
      </c>
      <c r="M10" s="7"/>
      <c r="N10" s="87">
        <v>0.0</v>
      </c>
      <c r="P10" s="7"/>
      <c r="Q10" s="7"/>
      <c r="R10" s="7"/>
    </row>
    <row r="11">
      <c r="A11" s="47" t="s">
        <v>187</v>
      </c>
      <c r="B11" s="115">
        <v>537.99</v>
      </c>
      <c r="C11" s="15" t="s">
        <v>7</v>
      </c>
      <c r="D11" s="4"/>
      <c r="E11" s="4"/>
      <c r="F11" s="48"/>
      <c r="G11" s="7"/>
      <c r="H11" s="4"/>
      <c r="I11" s="80" t="s">
        <v>153</v>
      </c>
      <c r="J11" s="124">
        <v>79.92</v>
      </c>
      <c r="K11" s="125" t="s">
        <v>172</v>
      </c>
      <c r="L11" s="81" t="s">
        <v>116</v>
      </c>
      <c r="M11" s="7"/>
      <c r="N11" s="7"/>
      <c r="O11" s="7"/>
      <c r="P11" s="7"/>
      <c r="Q11" s="7"/>
      <c r="R11" s="7"/>
    </row>
    <row r="12">
      <c r="A12" s="41" t="s">
        <v>188</v>
      </c>
      <c r="B12" s="154">
        <v>440.0</v>
      </c>
      <c r="C12" s="34" t="s">
        <v>7</v>
      </c>
      <c r="D12" s="4"/>
      <c r="E12" s="35"/>
      <c r="F12" s="45"/>
      <c r="G12" s="7"/>
      <c r="H12" s="4"/>
      <c r="I12" s="82" t="s">
        <v>154</v>
      </c>
      <c r="J12" s="120">
        <v>52.38</v>
      </c>
      <c r="K12" s="121" t="s">
        <v>181</v>
      </c>
      <c r="L12" s="83" t="s">
        <v>116</v>
      </c>
      <c r="M12" s="7"/>
      <c r="N12" s="7"/>
      <c r="O12" s="7"/>
      <c r="P12" s="7"/>
      <c r="Q12" s="7"/>
      <c r="R12" s="7"/>
    </row>
    <row r="13">
      <c r="A13" s="47"/>
      <c r="B13" s="156"/>
      <c r="C13" s="53"/>
      <c r="D13" s="4"/>
      <c r="E13" s="4"/>
      <c r="F13" s="48"/>
      <c r="G13" s="7"/>
      <c r="H13" s="4"/>
      <c r="I13" s="80" t="s">
        <v>155</v>
      </c>
      <c r="J13" s="124">
        <v>71.8</v>
      </c>
      <c r="K13" s="125" t="s">
        <v>181</v>
      </c>
      <c r="L13" s="81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 t="s">
        <v>157</v>
      </c>
      <c r="J14" s="120">
        <v>72.91</v>
      </c>
      <c r="K14" s="121" t="s">
        <v>174</v>
      </c>
      <c r="L14" s="86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 t="s">
        <v>158</v>
      </c>
      <c r="J15" s="124">
        <v>64.8</v>
      </c>
      <c r="K15" s="125" t="s">
        <v>181</v>
      </c>
      <c r="L15" s="81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 t="s">
        <v>159</v>
      </c>
      <c r="J16" s="120">
        <v>73.31</v>
      </c>
      <c r="K16" s="121" t="s">
        <v>181</v>
      </c>
      <c r="L16" s="86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80" t="s">
        <v>180</v>
      </c>
      <c r="J17" s="124">
        <v>77.49</v>
      </c>
      <c r="K17" s="125" t="s">
        <v>189</v>
      </c>
      <c r="L17" s="153" t="s">
        <v>141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10590.66</v>
      </c>
      <c r="G18" s="7"/>
      <c r="H18" s="7"/>
      <c r="I18" s="82" t="s">
        <v>190</v>
      </c>
      <c r="J18" s="120">
        <v>21.27</v>
      </c>
      <c r="K18" s="121" t="s">
        <v>164</v>
      </c>
      <c r="L18" s="86" t="s">
        <v>116</v>
      </c>
      <c r="M18" s="7"/>
      <c r="N18" s="7"/>
      <c r="O18" s="7"/>
    </row>
    <row r="19">
      <c r="A19" s="63" t="s">
        <v>21</v>
      </c>
      <c r="B19" s="95">
        <f>SUM(B3:B18)</f>
        <v>9616.75</v>
      </c>
      <c r="C19" s="7"/>
      <c r="D19" s="7"/>
      <c r="E19" s="7"/>
      <c r="F19" s="7"/>
      <c r="G19" s="7"/>
      <c r="H19" s="7"/>
      <c r="I19" s="80" t="s">
        <v>191</v>
      </c>
      <c r="J19" s="124">
        <v>153.0</v>
      </c>
      <c r="K19" s="125" t="s">
        <v>176</v>
      </c>
      <c r="L19" s="81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82" t="s">
        <v>192</v>
      </c>
      <c r="J20" s="120">
        <v>258.57</v>
      </c>
      <c r="K20" s="121" t="s">
        <v>140</v>
      </c>
      <c r="L20" s="86" t="s">
        <v>116</v>
      </c>
      <c r="M20" s="7"/>
      <c r="N20" s="7"/>
      <c r="O20" s="7"/>
    </row>
    <row r="21">
      <c r="E21" s="70" t="s">
        <v>22</v>
      </c>
      <c r="F21" s="2"/>
      <c r="H21" s="7"/>
      <c r="I21" s="80" t="s">
        <v>193</v>
      </c>
      <c r="J21" s="124">
        <v>93.32</v>
      </c>
      <c r="K21" s="125" t="s">
        <v>168</v>
      </c>
      <c r="L21" s="153" t="s">
        <v>116</v>
      </c>
      <c r="M21" s="7"/>
      <c r="N21" s="7"/>
    </row>
    <row r="22">
      <c r="B22" s="165" t="s">
        <v>194</v>
      </c>
      <c r="E22" s="11" t="s">
        <v>23</v>
      </c>
      <c r="F22" s="2"/>
      <c r="H22" s="7"/>
      <c r="I22" s="82"/>
      <c r="J22" s="120"/>
      <c r="K22" s="121"/>
      <c r="L22" s="83"/>
      <c r="M22" s="7"/>
      <c r="N22" s="7"/>
    </row>
    <row r="23">
      <c r="E23" s="18" t="s">
        <v>134</v>
      </c>
      <c r="F23" s="143">
        <v>24.9</v>
      </c>
      <c r="H23" s="142"/>
      <c r="I23" s="102"/>
      <c r="J23" s="160"/>
      <c r="K23" s="164"/>
      <c r="L23" s="160"/>
      <c r="M23" s="7"/>
      <c r="N23" s="7"/>
    </row>
    <row r="24">
      <c r="E24" s="26" t="s">
        <v>135</v>
      </c>
      <c r="F24" s="144">
        <v>10.0</v>
      </c>
      <c r="H24" s="142"/>
      <c r="I24" s="63" t="s">
        <v>21</v>
      </c>
      <c r="J24" s="139">
        <f>SUM(J4:J23)</f>
        <v>2690.82</v>
      </c>
      <c r="K24" s="2"/>
      <c r="L24" s="7"/>
      <c r="M24" s="7"/>
      <c r="N24" s="7"/>
    </row>
    <row r="25">
      <c r="E25" s="32" t="s">
        <v>137</v>
      </c>
      <c r="F25" s="145">
        <v>139.9</v>
      </c>
      <c r="H25" s="142"/>
      <c r="I25" s="7"/>
      <c r="J25" s="7"/>
      <c r="K25" s="7"/>
      <c r="L25" s="7"/>
      <c r="M25" s="7"/>
      <c r="N25" s="7"/>
    </row>
    <row r="26">
      <c r="E26" s="26" t="s">
        <v>138</v>
      </c>
      <c r="F26" s="144">
        <v>59.9</v>
      </c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4:K24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5.75"/>
    <col customWidth="1" min="4" max="4" width="2.88"/>
    <col customWidth="1" min="5" max="5" width="17.25"/>
    <col customWidth="1" min="6" max="6" width="10.13"/>
    <col customWidth="1" min="7" max="7" width="3.25"/>
    <col customWidth="1" min="8" max="8" width="3.13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2.63"/>
    <col customWidth="1" min="14" max="14" width="19.13"/>
    <col customWidth="1" min="16" max="17" width="6.0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2645.54</v>
      </c>
      <c r="C3" s="15" t="s">
        <v>7</v>
      </c>
      <c r="D3" s="4"/>
      <c r="E3" s="16" t="s">
        <v>31</v>
      </c>
      <c r="F3" s="17">
        <v>6000.0</v>
      </c>
      <c r="G3" s="162" t="s">
        <v>7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2384.59</v>
      </c>
      <c r="C4" s="23" t="s">
        <v>7</v>
      </c>
      <c r="D4" s="4"/>
      <c r="E4" s="24" t="s">
        <v>32</v>
      </c>
      <c r="F4" s="25">
        <v>3059.79</v>
      </c>
      <c r="G4" s="162" t="s">
        <v>7</v>
      </c>
      <c r="H4" s="4"/>
      <c r="I4" s="82" t="s">
        <v>128</v>
      </c>
      <c r="J4" s="120">
        <v>645.33</v>
      </c>
      <c r="K4" s="121" t="s">
        <v>120</v>
      </c>
      <c r="L4" s="83" t="s">
        <v>141</v>
      </c>
      <c r="M4" s="4"/>
      <c r="N4" s="28">
        <f>B19</f>
        <v>8887.92</v>
      </c>
      <c r="O4" s="9"/>
      <c r="P4" s="7"/>
      <c r="Q4" s="29">
        <v>0.0</v>
      </c>
    </row>
    <row r="5">
      <c r="A5" s="47" t="s">
        <v>127</v>
      </c>
      <c r="B5" s="115">
        <v>572.0</v>
      </c>
      <c r="C5" s="15" t="s">
        <v>7</v>
      </c>
      <c r="D5" s="4"/>
      <c r="E5" s="30"/>
      <c r="F5" s="31"/>
      <c r="G5" s="7"/>
      <c r="H5" s="4"/>
      <c r="I5" s="80" t="s">
        <v>195</v>
      </c>
      <c r="J5" s="124">
        <v>69.25</v>
      </c>
      <c r="K5" s="125" t="s">
        <v>196</v>
      </c>
      <c r="L5" s="153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82" t="s">
        <v>197</v>
      </c>
      <c r="J6" s="120">
        <v>31.8</v>
      </c>
      <c r="K6" s="121" t="s">
        <v>170</v>
      </c>
      <c r="L6" s="86" t="s">
        <v>141</v>
      </c>
      <c r="M6" s="67"/>
      <c r="N6" s="28">
        <f>F18</f>
        <v>9059.79</v>
      </c>
      <c r="O6" s="9"/>
      <c r="P6" s="7"/>
      <c r="Q6" s="7"/>
      <c r="R6" s="7"/>
    </row>
    <row r="7">
      <c r="A7" s="37" t="s">
        <v>15</v>
      </c>
      <c r="B7" s="122">
        <v>1500.0</v>
      </c>
      <c r="C7" s="15" t="s">
        <v>7</v>
      </c>
      <c r="D7" s="4"/>
      <c r="E7" s="39"/>
      <c r="F7" s="40"/>
      <c r="G7" s="7"/>
      <c r="H7" s="4"/>
      <c r="I7" s="80" t="s">
        <v>198</v>
      </c>
      <c r="J7" s="124">
        <v>177.73</v>
      </c>
      <c r="K7" s="125" t="s">
        <v>168</v>
      </c>
      <c r="L7" s="81" t="s">
        <v>141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82" t="s">
        <v>144</v>
      </c>
      <c r="J8" s="120">
        <v>572.0</v>
      </c>
      <c r="K8" s="121" t="s">
        <v>172</v>
      </c>
      <c r="L8" s="86" t="s">
        <v>146</v>
      </c>
      <c r="M8" s="7"/>
      <c r="N8" s="42">
        <f>Dezembro!Q4</f>
        <v>0</v>
      </c>
      <c r="P8" s="7"/>
      <c r="Q8" s="7"/>
      <c r="R8" s="7"/>
    </row>
    <row r="9">
      <c r="A9" s="43" t="s">
        <v>129</v>
      </c>
      <c r="B9" s="122">
        <v>576.0</v>
      </c>
      <c r="C9" s="15" t="s">
        <v>7</v>
      </c>
      <c r="D9" s="4"/>
      <c r="E9" s="39"/>
      <c r="F9" s="44"/>
      <c r="G9" s="7"/>
      <c r="H9" s="4"/>
      <c r="I9" s="80" t="s">
        <v>199</v>
      </c>
      <c r="J9" s="124">
        <v>107.91</v>
      </c>
      <c r="K9" s="163" t="s">
        <v>166</v>
      </c>
      <c r="L9" s="153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187</v>
      </c>
      <c r="B10" s="118">
        <v>550.0</v>
      </c>
      <c r="C10" s="34" t="s">
        <v>7</v>
      </c>
      <c r="D10" s="4"/>
      <c r="E10" s="35"/>
      <c r="F10" s="45"/>
      <c r="G10" s="7"/>
      <c r="H10" s="4"/>
      <c r="I10" s="82" t="s">
        <v>200</v>
      </c>
      <c r="J10" s="120">
        <v>93.32</v>
      </c>
      <c r="K10" s="121" t="s">
        <v>177</v>
      </c>
      <c r="L10" s="86" t="s">
        <v>116</v>
      </c>
      <c r="M10" s="7"/>
      <c r="N10" s="87">
        <v>0.0</v>
      </c>
      <c r="P10" s="7"/>
      <c r="Q10" s="7"/>
      <c r="R10" s="7"/>
    </row>
    <row r="11">
      <c r="A11" s="47"/>
      <c r="B11" s="115"/>
      <c r="C11" s="15"/>
      <c r="D11" s="4"/>
      <c r="E11" s="4"/>
      <c r="F11" s="48"/>
      <c r="G11" s="7"/>
      <c r="H11" s="4"/>
      <c r="I11" s="166" t="s">
        <v>121</v>
      </c>
      <c r="J11" s="133">
        <v>61.0</v>
      </c>
      <c r="K11" s="134" t="s">
        <v>183</v>
      </c>
      <c r="L11" s="92" t="s">
        <v>116</v>
      </c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167" t="s">
        <v>150</v>
      </c>
      <c r="J12" s="130">
        <v>24.87</v>
      </c>
      <c r="K12" s="131" t="s">
        <v>201</v>
      </c>
      <c r="L12" s="90" t="s">
        <v>116</v>
      </c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166" t="s">
        <v>152</v>
      </c>
      <c r="J13" s="133">
        <v>55.42</v>
      </c>
      <c r="K13" s="134" t="s">
        <v>202</v>
      </c>
      <c r="L13" s="92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167" t="s">
        <v>153</v>
      </c>
      <c r="J14" s="130">
        <v>79.92</v>
      </c>
      <c r="K14" s="131" t="s">
        <v>183</v>
      </c>
      <c r="L14" s="90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166" t="s">
        <v>154</v>
      </c>
      <c r="J15" s="133">
        <v>52.38</v>
      </c>
      <c r="K15" s="134" t="s">
        <v>189</v>
      </c>
      <c r="L15" s="92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167" t="s">
        <v>155</v>
      </c>
      <c r="J16" s="130">
        <v>71.8</v>
      </c>
      <c r="K16" s="131" t="s">
        <v>189</v>
      </c>
      <c r="L16" s="90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66" t="s">
        <v>158</v>
      </c>
      <c r="J17" s="133">
        <v>64.8</v>
      </c>
      <c r="K17" s="134" t="s">
        <v>189</v>
      </c>
      <c r="L17" s="92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9059.79</v>
      </c>
      <c r="G18" s="7"/>
      <c r="H18" s="7"/>
      <c r="I18" s="167" t="s">
        <v>159</v>
      </c>
      <c r="J18" s="130">
        <v>73.31</v>
      </c>
      <c r="K18" s="131" t="s">
        <v>189</v>
      </c>
      <c r="L18" s="90" t="s">
        <v>116</v>
      </c>
      <c r="M18" s="7"/>
      <c r="N18" s="7"/>
      <c r="O18" s="7"/>
    </row>
    <row r="19">
      <c r="A19" s="63" t="s">
        <v>21</v>
      </c>
      <c r="B19" s="95">
        <f>SUM(B3:B18)</f>
        <v>8887.92</v>
      </c>
      <c r="C19" s="7"/>
      <c r="D19" s="7"/>
      <c r="E19" s="7"/>
      <c r="F19" s="7"/>
      <c r="G19" s="7"/>
      <c r="H19" s="7"/>
      <c r="I19" s="166" t="s">
        <v>190</v>
      </c>
      <c r="J19" s="133">
        <v>21.27</v>
      </c>
      <c r="K19" s="134" t="s">
        <v>173</v>
      </c>
      <c r="L19" s="92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7" t="s">
        <v>191</v>
      </c>
      <c r="J20" s="130">
        <v>153.0</v>
      </c>
      <c r="K20" s="131" t="s">
        <v>185</v>
      </c>
      <c r="L20" s="90" t="s">
        <v>116</v>
      </c>
      <c r="M20" s="7"/>
      <c r="N20" s="7"/>
      <c r="O20" s="7"/>
    </row>
    <row r="21">
      <c r="E21" s="70" t="s">
        <v>22</v>
      </c>
      <c r="F21" s="2"/>
      <c r="H21" s="7"/>
      <c r="I21" s="166" t="s">
        <v>192</v>
      </c>
      <c r="J21" s="133">
        <v>258.57</v>
      </c>
      <c r="K21" s="134" t="s">
        <v>162</v>
      </c>
      <c r="L21" s="168" t="s">
        <v>116</v>
      </c>
      <c r="M21" s="7"/>
      <c r="N21" s="7"/>
    </row>
    <row r="22">
      <c r="E22" s="11" t="s">
        <v>23</v>
      </c>
      <c r="F22" s="2"/>
      <c r="H22" s="7"/>
      <c r="I22" s="80" t="s">
        <v>203</v>
      </c>
      <c r="J22" s="124">
        <v>66.66</v>
      </c>
      <c r="K22" s="125" t="s">
        <v>204</v>
      </c>
      <c r="L22" s="81" t="s">
        <v>116</v>
      </c>
      <c r="M22" s="7"/>
      <c r="N22" s="7"/>
    </row>
    <row r="23">
      <c r="E23" s="18" t="s">
        <v>134</v>
      </c>
      <c r="F23" s="143">
        <v>24.9</v>
      </c>
      <c r="H23" s="142"/>
      <c r="I23" s="82" t="s">
        <v>205</v>
      </c>
      <c r="J23" s="120">
        <v>92.26</v>
      </c>
      <c r="K23" s="121" t="s">
        <v>206</v>
      </c>
      <c r="L23" s="83" t="s">
        <v>116</v>
      </c>
      <c r="M23" s="7"/>
      <c r="N23" s="7"/>
    </row>
    <row r="24">
      <c r="E24" s="26" t="s">
        <v>135</v>
      </c>
      <c r="F24" s="144">
        <v>10.0</v>
      </c>
      <c r="H24" s="142"/>
      <c r="I24" s="80" t="s">
        <v>207</v>
      </c>
      <c r="J24" s="124">
        <v>83.33</v>
      </c>
      <c r="K24" s="125" t="s">
        <v>204</v>
      </c>
      <c r="L24" s="81" t="s">
        <v>116</v>
      </c>
      <c r="M24" s="7"/>
      <c r="N24" s="7"/>
    </row>
    <row r="25">
      <c r="E25" s="32" t="s">
        <v>137</v>
      </c>
      <c r="F25" s="145">
        <v>139.9</v>
      </c>
      <c r="H25" s="142"/>
      <c r="I25" s="167" t="s">
        <v>208</v>
      </c>
      <c r="J25" s="130">
        <v>72.91</v>
      </c>
      <c r="K25" s="131" t="s">
        <v>183</v>
      </c>
      <c r="L25" s="90" t="s">
        <v>116</v>
      </c>
      <c r="M25" s="7"/>
      <c r="N25" s="7"/>
    </row>
    <row r="26">
      <c r="E26" s="26" t="s">
        <v>138</v>
      </c>
      <c r="F26" s="144">
        <v>59.9</v>
      </c>
      <c r="H26" s="142"/>
      <c r="I26" s="166"/>
      <c r="J26" s="133"/>
      <c r="K26" s="134"/>
      <c r="L26" s="168"/>
      <c r="M26" s="7"/>
      <c r="N26" s="7"/>
    </row>
    <row r="27">
      <c r="E27" s="32"/>
      <c r="F27" s="145"/>
      <c r="H27" s="142"/>
      <c r="I27" s="63" t="s">
        <v>21</v>
      </c>
      <c r="J27" s="139">
        <f>SUM(J4:J26)</f>
        <v>2928.84</v>
      </c>
      <c r="K27" s="2"/>
      <c r="L27" s="162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7:K27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  <col customWidth="1" min="4" max="4" width="3.13"/>
    <col customWidth="1" min="5" max="5" width="14.63"/>
    <col customWidth="1" min="7" max="7" width="3.75"/>
    <col customWidth="1" min="8" max="8" width="3.38"/>
    <col customWidth="1" min="9" max="9" width="11.63"/>
    <col customWidth="1" min="10" max="10" width="9.75"/>
    <col customWidth="1" min="11" max="11" width="8.75"/>
    <col customWidth="1" min="12" max="12" width="10.5"/>
    <col customWidth="1" min="13" max="13" width="4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30</v>
      </c>
      <c r="B2" s="9"/>
      <c r="C2" s="10" t="s">
        <v>4</v>
      </c>
      <c r="D2" s="4"/>
      <c r="E2" s="8" t="s">
        <v>30</v>
      </c>
      <c r="F2" s="9"/>
      <c r="G2" s="7"/>
      <c r="H2" s="4"/>
      <c r="I2" s="8" t="s">
        <v>30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2600.0</v>
      </c>
      <c r="C3" s="15" t="s">
        <v>7</v>
      </c>
      <c r="D3" s="4"/>
      <c r="E3" s="16" t="s">
        <v>31</v>
      </c>
      <c r="F3" s="17">
        <v>4984.54</v>
      </c>
      <c r="G3" s="162" t="s">
        <v>7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1500.0</v>
      </c>
      <c r="C4" s="23" t="s">
        <v>7</v>
      </c>
      <c r="D4" s="4"/>
      <c r="E4" s="24" t="s">
        <v>32</v>
      </c>
      <c r="F4" s="25">
        <v>3059.79</v>
      </c>
      <c r="G4" s="162" t="s">
        <v>7</v>
      </c>
      <c r="H4" s="4"/>
      <c r="I4" s="102" t="s">
        <v>128</v>
      </c>
      <c r="J4" s="158">
        <v>645.33</v>
      </c>
      <c r="K4" s="163" t="s">
        <v>115</v>
      </c>
      <c r="L4" s="103" t="s">
        <v>141</v>
      </c>
      <c r="M4" s="4"/>
      <c r="N4" s="28">
        <f>B19</f>
        <v>7935.83</v>
      </c>
      <c r="O4" s="9"/>
      <c r="P4" s="7"/>
      <c r="Q4" s="85">
        <f>N6-N4+N8+N10</f>
        <v>108.5</v>
      </c>
    </row>
    <row r="5">
      <c r="A5" s="47" t="s">
        <v>127</v>
      </c>
      <c r="B5" s="115">
        <v>572.0</v>
      </c>
      <c r="C5" s="15" t="s">
        <v>7</v>
      </c>
      <c r="D5" s="4"/>
      <c r="E5" s="30"/>
      <c r="F5" s="31"/>
      <c r="G5" s="7"/>
      <c r="H5" s="4"/>
      <c r="I5" s="82" t="s">
        <v>209</v>
      </c>
      <c r="J5" s="120">
        <v>61.1</v>
      </c>
      <c r="K5" s="121" t="s">
        <v>143</v>
      </c>
      <c r="L5" s="83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80" t="s">
        <v>208</v>
      </c>
      <c r="J6" s="124">
        <v>69.25</v>
      </c>
      <c r="K6" s="125" t="s">
        <v>210</v>
      </c>
      <c r="L6" s="81" t="s">
        <v>141</v>
      </c>
      <c r="M6" s="67"/>
      <c r="N6" s="28">
        <f>F18</f>
        <v>8044.33</v>
      </c>
      <c r="O6" s="9"/>
      <c r="P6" s="7"/>
      <c r="Q6" s="7"/>
      <c r="R6" s="7"/>
    </row>
    <row r="7">
      <c r="A7" s="37" t="s">
        <v>15</v>
      </c>
      <c r="B7" s="122">
        <v>1490.0</v>
      </c>
      <c r="C7" s="15" t="s">
        <v>7</v>
      </c>
      <c r="D7" s="4"/>
      <c r="E7" s="39"/>
      <c r="F7" s="40"/>
      <c r="G7" s="7"/>
      <c r="H7" s="4"/>
      <c r="I7" s="82" t="s">
        <v>116</v>
      </c>
      <c r="J7" s="120">
        <v>31.8</v>
      </c>
      <c r="K7" s="121" t="s">
        <v>179</v>
      </c>
      <c r="L7" s="83" t="s">
        <v>141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80" t="s">
        <v>211</v>
      </c>
      <c r="J8" s="124">
        <v>90.98</v>
      </c>
      <c r="K8" s="125" t="s">
        <v>143</v>
      </c>
      <c r="L8" s="153" t="s">
        <v>141</v>
      </c>
      <c r="M8" s="7"/>
      <c r="N8" s="42">
        <f>Janeiro26!Q4</f>
        <v>0</v>
      </c>
      <c r="P8" s="7"/>
      <c r="Q8" s="7"/>
      <c r="R8" s="7"/>
    </row>
    <row r="9">
      <c r="A9" s="43" t="s">
        <v>129</v>
      </c>
      <c r="B9" s="122">
        <v>527.57</v>
      </c>
      <c r="C9" s="15" t="s">
        <v>7</v>
      </c>
      <c r="D9" s="4"/>
      <c r="E9" s="39"/>
      <c r="F9" s="44"/>
      <c r="G9" s="7"/>
      <c r="H9" s="4"/>
      <c r="I9" s="82" t="s">
        <v>116</v>
      </c>
      <c r="J9" s="120">
        <v>177.73</v>
      </c>
      <c r="K9" s="121" t="s">
        <v>177</v>
      </c>
      <c r="L9" s="86" t="s">
        <v>141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43.38</v>
      </c>
      <c r="C10" s="34" t="s">
        <v>7</v>
      </c>
      <c r="D10" s="4"/>
      <c r="E10" s="35"/>
      <c r="F10" s="45"/>
      <c r="G10" s="7"/>
      <c r="H10" s="4"/>
      <c r="I10" s="80" t="s">
        <v>212</v>
      </c>
      <c r="J10" s="124">
        <v>37.52</v>
      </c>
      <c r="K10" s="125" t="s">
        <v>206</v>
      </c>
      <c r="L10" s="81" t="s">
        <v>141</v>
      </c>
      <c r="M10" s="7"/>
      <c r="N10" s="87">
        <v>0.0</v>
      </c>
      <c r="P10" s="7"/>
      <c r="Q10" s="7"/>
      <c r="R10" s="7"/>
    </row>
    <row r="11">
      <c r="A11" s="47" t="s">
        <v>187</v>
      </c>
      <c r="B11" s="115">
        <v>543.09</v>
      </c>
      <c r="C11" s="15" t="s">
        <v>7</v>
      </c>
      <c r="D11" s="4"/>
      <c r="E11" s="4"/>
      <c r="F11" s="48"/>
      <c r="G11" s="7"/>
      <c r="H11" s="4"/>
      <c r="I11" s="82" t="s">
        <v>213</v>
      </c>
      <c r="J11" s="120">
        <v>20.09</v>
      </c>
      <c r="K11" s="121" t="s">
        <v>206</v>
      </c>
      <c r="L11" s="86" t="s">
        <v>141</v>
      </c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0" t="s">
        <v>144</v>
      </c>
      <c r="J12" s="124">
        <v>572.0</v>
      </c>
      <c r="K12" s="125" t="s">
        <v>183</v>
      </c>
      <c r="L12" s="153" t="s">
        <v>146</v>
      </c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2" t="s">
        <v>121</v>
      </c>
      <c r="J13" s="120">
        <v>61.0</v>
      </c>
      <c r="K13" s="121" t="s">
        <v>115</v>
      </c>
      <c r="L13" s="86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0" t="s">
        <v>150</v>
      </c>
      <c r="J14" s="124">
        <v>24.87</v>
      </c>
      <c r="K14" s="125" t="s">
        <v>214</v>
      </c>
      <c r="L14" s="81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2" t="s">
        <v>152</v>
      </c>
      <c r="J15" s="120">
        <v>55.42</v>
      </c>
      <c r="K15" s="121" t="s">
        <v>215</v>
      </c>
      <c r="L15" s="83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0" t="s">
        <v>153</v>
      </c>
      <c r="J16" s="124">
        <v>79.92</v>
      </c>
      <c r="K16" s="163" t="s">
        <v>120</v>
      </c>
      <c r="L16" s="81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 t="s">
        <v>208</v>
      </c>
      <c r="J17" s="27">
        <v>72.91</v>
      </c>
      <c r="K17" s="169" t="s">
        <v>120</v>
      </c>
      <c r="L17" s="97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8044.33</v>
      </c>
      <c r="G18" s="7"/>
      <c r="H18" s="7"/>
      <c r="I18" s="32" t="s">
        <v>216</v>
      </c>
      <c r="J18" s="33">
        <v>153.0</v>
      </c>
      <c r="K18" s="170" t="s">
        <v>201</v>
      </c>
      <c r="L18" s="75" t="s">
        <v>116</v>
      </c>
      <c r="M18" s="7"/>
      <c r="N18" s="7"/>
      <c r="O18" s="7"/>
    </row>
    <row r="19">
      <c r="A19" s="63" t="s">
        <v>21</v>
      </c>
      <c r="B19" s="95">
        <f>SUM(B3:B18)</f>
        <v>7935.83</v>
      </c>
      <c r="C19" s="7"/>
      <c r="D19" s="7"/>
      <c r="E19" s="7"/>
      <c r="F19" s="7"/>
      <c r="G19" s="7"/>
      <c r="H19" s="7"/>
      <c r="I19" s="26" t="s">
        <v>192</v>
      </c>
      <c r="J19" s="27">
        <v>258.57</v>
      </c>
      <c r="K19" s="169" t="s">
        <v>172</v>
      </c>
      <c r="L19" s="74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32" t="s">
        <v>217</v>
      </c>
      <c r="J20" s="76">
        <v>107.91</v>
      </c>
      <c r="K20" s="170" t="s">
        <v>176</v>
      </c>
      <c r="L20" s="75" t="s">
        <v>116</v>
      </c>
      <c r="M20" s="7"/>
      <c r="N20" s="7"/>
      <c r="O20" s="7"/>
    </row>
    <row r="21">
      <c r="E21" s="70" t="s">
        <v>22</v>
      </c>
      <c r="F21" s="2"/>
      <c r="H21" s="7"/>
      <c r="I21" s="26" t="s">
        <v>218</v>
      </c>
      <c r="J21" s="77">
        <v>66.66</v>
      </c>
      <c r="K21" s="169" t="s">
        <v>219</v>
      </c>
      <c r="L21" s="74" t="s">
        <v>116</v>
      </c>
      <c r="M21" s="7"/>
      <c r="N21" s="7"/>
    </row>
    <row r="22">
      <c r="E22" s="11" t="s">
        <v>23</v>
      </c>
      <c r="F22" s="2"/>
      <c r="H22" s="7"/>
      <c r="I22" s="32" t="s">
        <v>208</v>
      </c>
      <c r="J22" s="76">
        <v>83.33</v>
      </c>
      <c r="K22" s="170" t="s">
        <v>219</v>
      </c>
      <c r="L22" s="75" t="s">
        <v>116</v>
      </c>
      <c r="M22" s="7"/>
      <c r="N22" s="7"/>
    </row>
    <row r="23">
      <c r="E23" s="18" t="s">
        <v>134</v>
      </c>
      <c r="F23" s="143">
        <v>24.9</v>
      </c>
      <c r="H23" s="142"/>
      <c r="I23" s="26" t="s">
        <v>208</v>
      </c>
      <c r="J23" s="77">
        <v>42.15</v>
      </c>
      <c r="K23" s="169" t="s">
        <v>166</v>
      </c>
      <c r="L23" s="74" t="s">
        <v>116</v>
      </c>
      <c r="M23" s="7"/>
      <c r="N23" s="7"/>
    </row>
    <row r="24">
      <c r="E24" s="26" t="s">
        <v>135</v>
      </c>
      <c r="F24" s="144">
        <v>10.0</v>
      </c>
      <c r="H24" s="142"/>
      <c r="I24" s="32" t="s">
        <v>208</v>
      </c>
      <c r="J24" s="76">
        <v>79.05</v>
      </c>
      <c r="K24" s="170" t="s">
        <v>168</v>
      </c>
      <c r="L24" s="75" t="s">
        <v>116</v>
      </c>
      <c r="M24" s="7"/>
      <c r="N24" s="7"/>
    </row>
    <row r="25">
      <c r="E25" s="32" t="s">
        <v>137</v>
      </c>
      <c r="F25" s="145">
        <v>139.9</v>
      </c>
      <c r="H25" s="142"/>
      <c r="I25" s="26" t="s">
        <v>220</v>
      </c>
      <c r="J25" s="77">
        <v>91.81</v>
      </c>
      <c r="K25" s="169" t="s">
        <v>170</v>
      </c>
      <c r="L25" s="74" t="s">
        <v>116</v>
      </c>
      <c r="M25" s="7"/>
      <c r="N25" s="7"/>
    </row>
    <row r="26">
      <c r="E26" s="26" t="s">
        <v>138</v>
      </c>
      <c r="F26" s="144">
        <v>59.9</v>
      </c>
      <c r="H26" s="142"/>
      <c r="I26" s="32" t="s">
        <v>208</v>
      </c>
      <c r="J26" s="76">
        <v>61.3</v>
      </c>
      <c r="K26" s="170" t="s">
        <v>143</v>
      </c>
      <c r="L26" s="75" t="s">
        <v>116</v>
      </c>
      <c r="M26" s="7"/>
      <c r="N26" s="7"/>
    </row>
    <row r="27">
      <c r="E27" s="32"/>
      <c r="F27" s="145"/>
      <c r="H27" s="142"/>
      <c r="I27" s="26" t="s">
        <v>220</v>
      </c>
      <c r="J27" s="77">
        <v>69.85</v>
      </c>
      <c r="K27" s="169" t="s">
        <v>169</v>
      </c>
      <c r="L27" s="74" t="s">
        <v>116</v>
      </c>
      <c r="M27" s="7"/>
      <c r="N27" s="7"/>
    </row>
    <row r="28">
      <c r="E28" s="26"/>
      <c r="F28" s="144"/>
      <c r="H28" s="7"/>
      <c r="I28" s="32" t="s">
        <v>221</v>
      </c>
      <c r="J28" s="76">
        <v>240.58</v>
      </c>
      <c r="K28" s="170" t="s">
        <v>168</v>
      </c>
      <c r="L28" s="75" t="s">
        <v>116</v>
      </c>
      <c r="M28" s="7"/>
      <c r="N28" s="7"/>
    </row>
    <row r="29">
      <c r="E29" s="32"/>
      <c r="F29" s="145"/>
      <c r="H29" s="7"/>
      <c r="I29" s="26" t="s">
        <v>222</v>
      </c>
      <c r="J29" s="77">
        <v>133.34</v>
      </c>
      <c r="K29" s="169" t="s">
        <v>223</v>
      </c>
      <c r="L29" s="74" t="s">
        <v>116</v>
      </c>
      <c r="M29" s="7"/>
      <c r="N29" s="7"/>
    </row>
    <row r="30">
      <c r="E30" s="26"/>
      <c r="F30" s="77"/>
      <c r="H30" s="7"/>
      <c r="I30" s="54"/>
      <c r="J30" s="171"/>
      <c r="K30" s="172"/>
      <c r="L30" s="99"/>
      <c r="M30" s="7"/>
      <c r="N30" s="7"/>
    </row>
    <row r="31">
      <c r="E31" s="32"/>
      <c r="F31" s="76"/>
      <c r="H31" s="7"/>
      <c r="I31" s="57"/>
      <c r="J31" s="173"/>
      <c r="K31" s="174"/>
      <c r="L31" s="98"/>
      <c r="M31" s="7"/>
      <c r="N31" s="7"/>
    </row>
    <row r="32">
      <c r="E32" s="26"/>
      <c r="F32" s="26"/>
      <c r="H32" s="7"/>
      <c r="I32" s="54"/>
      <c r="J32" s="171"/>
      <c r="K32" s="172"/>
      <c r="L32" s="99"/>
      <c r="M32" s="7"/>
      <c r="N32" s="7"/>
    </row>
    <row r="33">
      <c r="E33" s="32"/>
      <c r="F33" s="76"/>
      <c r="H33" s="7"/>
      <c r="I33" s="63" t="s">
        <v>21</v>
      </c>
      <c r="J33" s="139">
        <f>SUM(J4:J32)</f>
        <v>3387.47</v>
      </c>
      <c r="K33" s="2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33:K3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4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224</v>
      </c>
      <c r="B2" s="9"/>
      <c r="C2" s="10" t="s">
        <v>4</v>
      </c>
      <c r="D2" s="4"/>
      <c r="E2" s="8" t="s">
        <v>224</v>
      </c>
      <c r="F2" s="9"/>
      <c r="G2" s="7"/>
      <c r="H2" s="4"/>
      <c r="I2" s="8" t="s">
        <v>224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0.0</v>
      </c>
      <c r="C3" s="15" t="s">
        <v>7</v>
      </c>
      <c r="D3" s="4"/>
      <c r="E3" s="16" t="s">
        <v>31</v>
      </c>
      <c r="F3" s="17">
        <v>5437.09</v>
      </c>
      <c r="G3" s="162" t="s">
        <v>7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900.0</v>
      </c>
      <c r="C4" s="23" t="s">
        <v>7</v>
      </c>
      <c r="D4" s="4"/>
      <c r="E4" s="24" t="s">
        <v>32</v>
      </c>
      <c r="F4" s="25">
        <v>3136.84</v>
      </c>
      <c r="G4" s="162" t="s">
        <v>7</v>
      </c>
      <c r="H4" s="4"/>
      <c r="I4" s="102" t="s">
        <v>128</v>
      </c>
      <c r="J4" s="158">
        <v>645.33</v>
      </c>
      <c r="K4" s="163" t="s">
        <v>147</v>
      </c>
      <c r="L4" s="103" t="s">
        <v>141</v>
      </c>
      <c r="M4" s="4"/>
      <c r="N4" s="28">
        <f>B19</f>
        <v>8186.73</v>
      </c>
      <c r="O4" s="9"/>
      <c r="P4" s="7"/>
      <c r="Q4" s="29">
        <v>0.0</v>
      </c>
    </row>
    <row r="5">
      <c r="A5" s="47" t="s">
        <v>127</v>
      </c>
      <c r="B5" s="115">
        <v>1572.0</v>
      </c>
      <c r="C5" s="15" t="s">
        <v>7</v>
      </c>
      <c r="D5" s="4"/>
      <c r="E5" s="175"/>
      <c r="F5" s="175"/>
      <c r="G5" s="7"/>
      <c r="H5" s="4"/>
      <c r="I5" s="82" t="s">
        <v>225</v>
      </c>
      <c r="J5" s="120">
        <v>61.1</v>
      </c>
      <c r="K5" s="121" t="s">
        <v>164</v>
      </c>
      <c r="L5" s="83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80" t="s">
        <v>208</v>
      </c>
      <c r="J6" s="124">
        <v>69.25</v>
      </c>
      <c r="K6" s="125" t="s">
        <v>226</v>
      </c>
      <c r="L6" s="81" t="s">
        <v>141</v>
      </c>
      <c r="M6" s="67"/>
      <c r="N6" s="28">
        <f>F18</f>
        <v>8573.93</v>
      </c>
      <c r="O6" s="9"/>
      <c r="P6" s="7"/>
      <c r="Q6" s="7"/>
      <c r="R6" s="7"/>
    </row>
    <row r="7">
      <c r="A7" s="37" t="s">
        <v>15</v>
      </c>
      <c r="B7" s="122">
        <v>1500.0</v>
      </c>
      <c r="C7" s="15" t="s">
        <v>7</v>
      </c>
      <c r="D7" s="4"/>
      <c r="E7" s="39"/>
      <c r="F7" s="40"/>
      <c r="G7" s="7"/>
      <c r="H7" s="4"/>
      <c r="I7" s="82" t="s">
        <v>116</v>
      </c>
      <c r="J7" s="120">
        <v>31.8</v>
      </c>
      <c r="K7" s="121" t="s">
        <v>181</v>
      </c>
      <c r="L7" s="83" t="s">
        <v>141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80" t="s">
        <v>211</v>
      </c>
      <c r="J8" s="124">
        <v>90.98</v>
      </c>
      <c r="K8" s="125" t="s">
        <v>164</v>
      </c>
      <c r="L8" s="153" t="s">
        <v>141</v>
      </c>
      <c r="M8" s="7"/>
      <c r="N8" s="42">
        <f>Fevereiro26!Q4</f>
        <v>108.5</v>
      </c>
      <c r="P8" s="7"/>
      <c r="Q8" s="7"/>
      <c r="R8" s="7"/>
    </row>
    <row r="9">
      <c r="A9" s="43" t="s">
        <v>129</v>
      </c>
      <c r="B9" s="122">
        <v>517.95</v>
      </c>
      <c r="C9" s="15" t="s">
        <v>7</v>
      </c>
      <c r="D9" s="4"/>
      <c r="E9" s="39"/>
      <c r="F9" s="44"/>
      <c r="G9" s="7"/>
      <c r="H9" s="4"/>
      <c r="I9" s="80" t="s">
        <v>144</v>
      </c>
      <c r="J9" s="124">
        <v>572.0</v>
      </c>
      <c r="K9" s="125" t="s">
        <v>120</v>
      </c>
      <c r="L9" s="153" t="s">
        <v>146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42.78</v>
      </c>
      <c r="C10" s="34" t="s">
        <v>7</v>
      </c>
      <c r="D10" s="4"/>
      <c r="E10" s="35"/>
      <c r="F10" s="45"/>
      <c r="G10" s="7"/>
      <c r="H10" s="4"/>
      <c r="I10" s="82" t="s">
        <v>121</v>
      </c>
      <c r="J10" s="120">
        <v>61.0</v>
      </c>
      <c r="K10" s="121" t="s">
        <v>147</v>
      </c>
      <c r="L10" s="86" t="s">
        <v>116</v>
      </c>
      <c r="M10" s="7"/>
      <c r="N10" s="87">
        <v>0.0</v>
      </c>
      <c r="P10" s="7"/>
      <c r="Q10" s="7"/>
      <c r="R10" s="7"/>
    </row>
    <row r="11">
      <c r="A11" s="47" t="s">
        <v>187</v>
      </c>
      <c r="B11" s="115">
        <v>543.09</v>
      </c>
      <c r="C11" s="15" t="s">
        <v>7</v>
      </c>
      <c r="D11" s="4"/>
      <c r="E11" s="4"/>
      <c r="F11" s="48"/>
      <c r="G11" s="7"/>
      <c r="H11" s="4"/>
      <c r="I11" s="80" t="s">
        <v>150</v>
      </c>
      <c r="J11" s="124">
        <v>24.87</v>
      </c>
      <c r="K11" s="125" t="s">
        <v>227</v>
      </c>
      <c r="L11" s="81" t="s">
        <v>116</v>
      </c>
      <c r="M11" s="7"/>
      <c r="N11" s="7"/>
      <c r="O11" s="7"/>
      <c r="P11" s="7"/>
      <c r="Q11" s="7"/>
      <c r="R11" s="7"/>
    </row>
    <row r="12">
      <c r="A12" s="41" t="s">
        <v>228</v>
      </c>
      <c r="B12" s="154">
        <v>110.71</v>
      </c>
      <c r="C12" s="34" t="s">
        <v>7</v>
      </c>
      <c r="D12" s="4"/>
      <c r="E12" s="35"/>
      <c r="F12" s="45"/>
      <c r="G12" s="7"/>
      <c r="H12" s="4"/>
      <c r="I12" s="82" t="s">
        <v>152</v>
      </c>
      <c r="J12" s="120">
        <v>55.42</v>
      </c>
      <c r="K12" s="121" t="s">
        <v>229</v>
      </c>
      <c r="L12" s="83" t="s">
        <v>116</v>
      </c>
      <c r="M12" s="7"/>
      <c r="N12" s="7"/>
      <c r="O12" s="7"/>
      <c r="P12" s="7"/>
      <c r="Q12" s="7"/>
      <c r="R12" s="7"/>
    </row>
    <row r="13">
      <c r="A13" s="47" t="s">
        <v>123</v>
      </c>
      <c r="B13" s="156">
        <v>2340.41</v>
      </c>
      <c r="C13" s="15" t="s">
        <v>7</v>
      </c>
      <c r="D13" s="4"/>
      <c r="E13" s="4"/>
      <c r="F13" s="48"/>
      <c r="G13" s="7"/>
      <c r="H13" s="4"/>
      <c r="I13" s="80" t="s">
        <v>153</v>
      </c>
      <c r="J13" s="124">
        <v>79.92</v>
      </c>
      <c r="K13" s="163" t="s">
        <v>115</v>
      </c>
      <c r="L13" s="81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26" t="s">
        <v>208</v>
      </c>
      <c r="J14" s="27">
        <v>72.91</v>
      </c>
      <c r="K14" s="169" t="s">
        <v>115</v>
      </c>
      <c r="L14" s="97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32" t="s">
        <v>216</v>
      </c>
      <c r="J15" s="33">
        <v>153.0</v>
      </c>
      <c r="K15" s="170" t="s">
        <v>214</v>
      </c>
      <c r="L15" s="75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26" t="s">
        <v>192</v>
      </c>
      <c r="J16" s="27">
        <v>258.57</v>
      </c>
      <c r="K16" s="169" t="s">
        <v>183</v>
      </c>
      <c r="L16" s="74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32" t="s">
        <v>217</v>
      </c>
      <c r="J17" s="76">
        <v>107.91</v>
      </c>
      <c r="K17" s="170" t="s">
        <v>185</v>
      </c>
      <c r="L17" s="75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8573.93</v>
      </c>
      <c r="G18" s="7"/>
      <c r="H18" s="7"/>
      <c r="I18" s="26" t="s">
        <v>218</v>
      </c>
      <c r="J18" s="77">
        <v>66.66</v>
      </c>
      <c r="K18" s="169" t="s">
        <v>230</v>
      </c>
      <c r="L18" s="74" t="s">
        <v>116</v>
      </c>
      <c r="M18" s="7"/>
      <c r="N18" s="7"/>
      <c r="O18" s="7"/>
    </row>
    <row r="19">
      <c r="A19" s="63" t="s">
        <v>21</v>
      </c>
      <c r="B19" s="95">
        <f>SUM(B3:B18)</f>
        <v>8186.73</v>
      </c>
      <c r="C19" s="7"/>
      <c r="D19" s="7"/>
      <c r="E19" s="7"/>
      <c r="F19" s="7"/>
      <c r="G19" s="7"/>
      <c r="H19" s="7"/>
      <c r="I19" s="32" t="s">
        <v>208</v>
      </c>
      <c r="J19" s="76">
        <v>83.33</v>
      </c>
      <c r="K19" s="170" t="s">
        <v>230</v>
      </c>
      <c r="L19" s="75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26" t="s">
        <v>208</v>
      </c>
      <c r="J20" s="77">
        <v>42.15</v>
      </c>
      <c r="K20" s="169" t="s">
        <v>176</v>
      </c>
      <c r="L20" s="74" t="s">
        <v>116</v>
      </c>
      <c r="M20" s="7"/>
      <c r="N20" s="7"/>
      <c r="O20" s="7"/>
    </row>
    <row r="21">
      <c r="E21" s="70" t="s">
        <v>22</v>
      </c>
      <c r="F21" s="2"/>
      <c r="H21" s="7"/>
      <c r="I21" s="32" t="s">
        <v>208</v>
      </c>
      <c r="J21" s="76">
        <v>79.05</v>
      </c>
      <c r="K21" s="170" t="s">
        <v>177</v>
      </c>
      <c r="L21" s="75" t="s">
        <v>116</v>
      </c>
      <c r="M21" s="7"/>
      <c r="N21" s="7"/>
    </row>
    <row r="22">
      <c r="E22" s="11" t="s">
        <v>23</v>
      </c>
      <c r="F22" s="2"/>
      <c r="H22" s="7"/>
      <c r="I22" s="26" t="s">
        <v>220</v>
      </c>
      <c r="J22" s="77">
        <v>91.81</v>
      </c>
      <c r="K22" s="169" t="s">
        <v>181</v>
      </c>
      <c r="L22" s="74" t="s">
        <v>116</v>
      </c>
      <c r="M22" s="7"/>
      <c r="N22" s="7"/>
    </row>
    <row r="23">
      <c r="E23" s="18" t="s">
        <v>134</v>
      </c>
      <c r="F23" s="143">
        <v>24.9</v>
      </c>
      <c r="H23" s="142"/>
      <c r="I23" s="32" t="s">
        <v>208</v>
      </c>
      <c r="J23" s="76">
        <v>61.3</v>
      </c>
      <c r="K23" s="170" t="s">
        <v>164</v>
      </c>
      <c r="L23" s="75" t="s">
        <v>116</v>
      </c>
      <c r="M23" s="7"/>
      <c r="N23" s="7"/>
    </row>
    <row r="24">
      <c r="E24" s="26" t="s">
        <v>135</v>
      </c>
      <c r="F24" s="144">
        <v>10.0</v>
      </c>
      <c r="H24" s="142"/>
      <c r="I24" s="26" t="s">
        <v>220</v>
      </c>
      <c r="J24" s="77">
        <v>69.85</v>
      </c>
      <c r="K24" s="169" t="s">
        <v>178</v>
      </c>
      <c r="L24" s="74" t="s">
        <v>116</v>
      </c>
      <c r="M24" s="7"/>
      <c r="N24" s="7"/>
    </row>
    <row r="25">
      <c r="E25" s="32" t="s">
        <v>137</v>
      </c>
      <c r="F25" s="145">
        <v>139.9</v>
      </c>
      <c r="H25" s="142"/>
      <c r="I25" s="32" t="s">
        <v>221</v>
      </c>
      <c r="J25" s="76">
        <v>240.58</v>
      </c>
      <c r="K25" s="170" t="s">
        <v>177</v>
      </c>
      <c r="L25" s="75" t="s">
        <v>116</v>
      </c>
      <c r="M25" s="7"/>
      <c r="N25" s="7"/>
    </row>
    <row r="26">
      <c r="E26" s="26" t="s">
        <v>138</v>
      </c>
      <c r="F26" s="144">
        <v>59.9</v>
      </c>
      <c r="H26" s="142"/>
      <c r="I26" s="26" t="s">
        <v>222</v>
      </c>
      <c r="J26" s="77">
        <v>133.34</v>
      </c>
      <c r="K26" s="169" t="s">
        <v>168</v>
      </c>
      <c r="L26" s="74" t="s">
        <v>116</v>
      </c>
      <c r="M26" s="7"/>
      <c r="N26" s="7"/>
    </row>
    <row r="27">
      <c r="E27" s="32"/>
      <c r="F27" s="145"/>
      <c r="H27" s="142"/>
      <c r="I27" s="32"/>
      <c r="J27" s="76"/>
      <c r="K27" s="170"/>
      <c r="L27" s="75"/>
      <c r="M27" s="7"/>
      <c r="N27" s="7"/>
    </row>
    <row r="28">
      <c r="E28" s="26"/>
      <c r="F28" s="144"/>
      <c r="H28" s="7"/>
      <c r="I28" s="26"/>
      <c r="J28" s="77"/>
      <c r="K28" s="169"/>
      <c r="L28" s="74"/>
      <c r="M28" s="7"/>
      <c r="N28" s="7"/>
    </row>
    <row r="29">
      <c r="E29" s="32"/>
      <c r="F29" s="145"/>
      <c r="H29" s="7"/>
      <c r="I29" s="54"/>
      <c r="J29" s="171"/>
      <c r="K29" s="172"/>
      <c r="L29" s="99"/>
      <c r="M29" s="7"/>
      <c r="N29" s="7"/>
    </row>
    <row r="30">
      <c r="E30" s="26"/>
      <c r="F30" s="77"/>
      <c r="H30" s="7"/>
      <c r="I30" s="57"/>
      <c r="J30" s="173"/>
      <c r="K30" s="174"/>
      <c r="L30" s="98"/>
      <c r="M30" s="7"/>
      <c r="N30" s="7"/>
    </row>
    <row r="31">
      <c r="E31" s="32"/>
      <c r="F31" s="76"/>
      <c r="H31" s="7"/>
      <c r="I31" s="54"/>
      <c r="J31" s="171"/>
      <c r="K31" s="172"/>
      <c r="L31" s="99"/>
      <c r="M31" s="7"/>
      <c r="N31" s="7"/>
    </row>
    <row r="32">
      <c r="E32" s="26"/>
      <c r="F32" s="26"/>
      <c r="H32" s="7"/>
      <c r="I32" s="57"/>
      <c r="J32" s="173"/>
      <c r="K32" s="174"/>
      <c r="L32" s="98"/>
      <c r="M32" s="7"/>
      <c r="N32" s="7"/>
    </row>
    <row r="33">
      <c r="E33" s="32"/>
      <c r="F33" s="76"/>
      <c r="H33" s="7"/>
      <c r="I33" s="63" t="s">
        <v>21</v>
      </c>
      <c r="J33" s="139">
        <f>SUM(J4:J32)</f>
        <v>3152.13</v>
      </c>
      <c r="K33" s="2"/>
      <c r="L33" s="7"/>
      <c r="M33" s="7"/>
      <c r="N33" s="7"/>
    </row>
    <row r="34">
      <c r="E34" s="78" t="s">
        <v>28</v>
      </c>
      <c r="F34" s="79">
        <f>SUM(F23:F33)</f>
        <v>234.7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33:K3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4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231</v>
      </c>
      <c r="B3" s="115">
        <v>3566.11</v>
      </c>
      <c r="C3" s="15" t="s">
        <v>7</v>
      </c>
      <c r="D3" s="4"/>
      <c r="E3" s="16" t="s">
        <v>31</v>
      </c>
      <c r="F3" s="17">
        <v>5133.97</v>
      </c>
      <c r="G3" s="162" t="s">
        <v>7</v>
      </c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17</v>
      </c>
      <c r="B4" s="118">
        <v>2500.0</v>
      </c>
      <c r="C4" s="23" t="s">
        <v>7</v>
      </c>
      <c r="D4" s="4"/>
      <c r="E4" s="24" t="s">
        <v>32</v>
      </c>
      <c r="F4" s="25">
        <v>3136.84</v>
      </c>
      <c r="G4" s="162" t="s">
        <v>7</v>
      </c>
      <c r="H4" s="4"/>
      <c r="I4" s="102" t="s">
        <v>128</v>
      </c>
      <c r="J4" s="158">
        <v>645.33</v>
      </c>
      <c r="K4" s="163" t="s">
        <v>165</v>
      </c>
      <c r="L4" s="103" t="s">
        <v>141</v>
      </c>
      <c r="M4" s="4"/>
      <c r="N4" s="28">
        <f>B19</f>
        <v>12258.37</v>
      </c>
      <c r="O4" s="9"/>
      <c r="P4" s="7"/>
      <c r="Q4" s="29">
        <v>0.0</v>
      </c>
    </row>
    <row r="5">
      <c r="A5" s="47" t="s">
        <v>123</v>
      </c>
      <c r="B5" s="115">
        <v>1200.0</v>
      </c>
      <c r="C5" s="15" t="s">
        <v>7</v>
      </c>
      <c r="D5" s="4"/>
      <c r="E5" s="30" t="s">
        <v>40</v>
      </c>
      <c r="F5" s="31">
        <v>4177.63</v>
      </c>
      <c r="G5" s="162" t="s">
        <v>7</v>
      </c>
      <c r="H5" s="4"/>
      <c r="I5" s="82" t="s">
        <v>225</v>
      </c>
      <c r="J5" s="120">
        <v>61.1</v>
      </c>
      <c r="K5" s="121" t="s">
        <v>173</v>
      </c>
      <c r="L5" s="83" t="s">
        <v>141</v>
      </c>
      <c r="M5" s="4"/>
      <c r="N5" s="20" t="s">
        <v>1</v>
      </c>
      <c r="O5" s="9"/>
      <c r="P5" s="7"/>
      <c r="Q5" s="7"/>
      <c r="R5" s="7"/>
    </row>
    <row r="6">
      <c r="A6" s="41" t="s">
        <v>127</v>
      </c>
      <c r="B6" s="118">
        <v>1572.0</v>
      </c>
      <c r="C6" s="34" t="s">
        <v>7</v>
      </c>
      <c r="D6" s="4"/>
      <c r="E6" s="35"/>
      <c r="F6" s="36"/>
      <c r="G6" s="7"/>
      <c r="H6" s="4"/>
      <c r="I6" s="80" t="s">
        <v>208</v>
      </c>
      <c r="J6" s="124">
        <v>69.25</v>
      </c>
      <c r="K6" s="125" t="s">
        <v>232</v>
      </c>
      <c r="L6" s="81" t="s">
        <v>141</v>
      </c>
      <c r="M6" s="67"/>
      <c r="N6" s="28">
        <f>F18</f>
        <v>12448.44</v>
      </c>
      <c r="O6" s="9"/>
      <c r="P6" s="7"/>
      <c r="Q6" s="7"/>
      <c r="R6" s="7"/>
    </row>
    <row r="7">
      <c r="A7" s="37" t="s">
        <v>13</v>
      </c>
      <c r="B7" s="122">
        <v>500.0</v>
      </c>
      <c r="C7" s="15" t="s">
        <v>7</v>
      </c>
      <c r="D7" s="4"/>
      <c r="E7" s="39"/>
      <c r="F7" s="40"/>
      <c r="G7" s="7"/>
      <c r="H7" s="4"/>
      <c r="I7" s="82" t="s">
        <v>116</v>
      </c>
      <c r="J7" s="120">
        <v>31.8</v>
      </c>
      <c r="K7" s="121" t="s">
        <v>189</v>
      </c>
      <c r="L7" s="83" t="s">
        <v>141</v>
      </c>
      <c r="N7" s="12" t="s">
        <v>16</v>
      </c>
      <c r="O7" s="9"/>
      <c r="P7" s="7"/>
      <c r="Q7" s="7"/>
      <c r="R7" s="7"/>
    </row>
    <row r="8">
      <c r="A8" s="21" t="s">
        <v>15</v>
      </c>
      <c r="B8" s="118">
        <v>1511.0</v>
      </c>
      <c r="C8" s="34" t="s">
        <v>7</v>
      </c>
      <c r="D8" s="4"/>
      <c r="E8" s="35"/>
      <c r="F8" s="36"/>
      <c r="G8" s="7"/>
      <c r="H8" s="4"/>
      <c r="I8" s="80" t="s">
        <v>211</v>
      </c>
      <c r="J8" s="124">
        <v>90.98</v>
      </c>
      <c r="K8" s="125" t="s">
        <v>173</v>
      </c>
      <c r="L8" s="153" t="s">
        <v>141</v>
      </c>
      <c r="M8" s="7"/>
      <c r="N8" s="42">
        <f>'Março26'!Q4</f>
        <v>0</v>
      </c>
      <c r="P8" s="7"/>
      <c r="Q8" s="7"/>
      <c r="R8" s="7"/>
    </row>
    <row r="9">
      <c r="A9" s="37" t="s">
        <v>6</v>
      </c>
      <c r="B9" s="122">
        <v>159.79</v>
      </c>
      <c r="C9" s="15" t="s">
        <v>7</v>
      </c>
      <c r="D9" s="4"/>
      <c r="E9" s="39"/>
      <c r="F9" s="44"/>
      <c r="G9" s="7"/>
      <c r="H9" s="4"/>
      <c r="I9" s="80" t="s">
        <v>144</v>
      </c>
      <c r="J9" s="124">
        <v>572.0</v>
      </c>
      <c r="K9" s="125" t="s">
        <v>115</v>
      </c>
      <c r="L9" s="153" t="s">
        <v>146</v>
      </c>
      <c r="M9" s="7"/>
      <c r="N9" s="12" t="s">
        <v>19</v>
      </c>
      <c r="O9" s="9"/>
      <c r="P9" s="7"/>
      <c r="Q9" s="7"/>
      <c r="R9" s="7"/>
    </row>
    <row r="10">
      <c r="A10" s="41" t="s">
        <v>129</v>
      </c>
      <c r="B10" s="118">
        <v>554.93</v>
      </c>
      <c r="C10" s="34" t="s">
        <v>7</v>
      </c>
      <c r="D10" s="16" t="s">
        <v>233</v>
      </c>
      <c r="E10" s="35"/>
      <c r="F10" s="45"/>
      <c r="G10" s="7"/>
      <c r="H10" s="4"/>
      <c r="I10" s="82" t="s">
        <v>121</v>
      </c>
      <c r="J10" s="120">
        <v>61.0</v>
      </c>
      <c r="K10" s="121" t="s">
        <v>165</v>
      </c>
      <c r="L10" s="86" t="s">
        <v>116</v>
      </c>
      <c r="M10" s="7"/>
      <c r="N10" s="87">
        <v>0.0</v>
      </c>
      <c r="P10" s="7"/>
      <c r="Q10" s="7"/>
      <c r="R10" s="7"/>
    </row>
    <row r="11">
      <c r="A11" s="47" t="s">
        <v>148</v>
      </c>
      <c r="B11" s="115">
        <v>42.64</v>
      </c>
      <c r="C11" s="15" t="s">
        <v>7</v>
      </c>
      <c r="D11" s="4"/>
      <c r="E11" s="4"/>
      <c r="F11" s="48"/>
      <c r="G11" s="7"/>
      <c r="H11" s="4"/>
      <c r="I11" s="80" t="s">
        <v>150</v>
      </c>
      <c r="J11" s="124">
        <v>24.87</v>
      </c>
      <c r="K11" s="125" t="s">
        <v>234</v>
      </c>
      <c r="L11" s="81" t="s">
        <v>116</v>
      </c>
      <c r="M11" s="7"/>
      <c r="N11" s="7"/>
      <c r="O11" s="7"/>
      <c r="P11" s="7"/>
      <c r="Q11" s="7"/>
      <c r="R11" s="7"/>
    </row>
    <row r="12">
      <c r="A12" s="41" t="s">
        <v>187</v>
      </c>
      <c r="B12" s="154">
        <v>541.19</v>
      </c>
      <c r="C12" s="34" t="s">
        <v>7</v>
      </c>
      <c r="D12" s="4"/>
      <c r="E12" s="35"/>
      <c r="F12" s="45"/>
      <c r="G12" s="7"/>
      <c r="H12" s="4"/>
      <c r="I12" s="82" t="s">
        <v>153</v>
      </c>
      <c r="J12" s="120">
        <v>79.92</v>
      </c>
      <c r="K12" s="121" t="s">
        <v>147</v>
      </c>
      <c r="L12" s="83" t="s">
        <v>116</v>
      </c>
      <c r="M12" s="7"/>
      <c r="N12" s="7"/>
      <c r="O12" s="7"/>
      <c r="P12" s="7"/>
      <c r="Q12" s="7"/>
      <c r="R12" s="7"/>
    </row>
    <row r="13">
      <c r="A13" s="47" t="s">
        <v>228</v>
      </c>
      <c r="B13" s="156">
        <v>110.71</v>
      </c>
      <c r="C13" s="15" t="s">
        <v>7</v>
      </c>
      <c r="D13" s="4"/>
      <c r="E13" s="4"/>
      <c r="F13" s="48"/>
      <c r="G13" s="7"/>
      <c r="H13" s="4"/>
      <c r="I13" s="80" t="s">
        <v>208</v>
      </c>
      <c r="J13" s="124">
        <v>72.91</v>
      </c>
      <c r="K13" s="163" t="s">
        <v>147</v>
      </c>
      <c r="L13" s="153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26" t="s">
        <v>216</v>
      </c>
      <c r="J14" s="27">
        <v>153.0</v>
      </c>
      <c r="K14" s="169" t="s">
        <v>227</v>
      </c>
      <c r="L14" s="74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32" t="s">
        <v>192</v>
      </c>
      <c r="J15" s="33">
        <v>258.57</v>
      </c>
      <c r="K15" s="170" t="s">
        <v>120</v>
      </c>
      <c r="L15" s="75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26" t="s">
        <v>217</v>
      </c>
      <c r="J16" s="27">
        <v>107.91</v>
      </c>
      <c r="K16" s="169" t="s">
        <v>201</v>
      </c>
      <c r="L16" s="74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32" t="s">
        <v>218</v>
      </c>
      <c r="J17" s="76">
        <v>66.66</v>
      </c>
      <c r="K17" s="170" t="s">
        <v>235</v>
      </c>
      <c r="L17" s="75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12448.44</v>
      </c>
      <c r="G18" s="7"/>
      <c r="H18" s="7"/>
      <c r="I18" s="26" t="s">
        <v>208</v>
      </c>
      <c r="J18" s="77">
        <v>83.33</v>
      </c>
      <c r="K18" s="169" t="s">
        <v>235</v>
      </c>
      <c r="L18" s="74" t="s">
        <v>116</v>
      </c>
      <c r="M18" s="7"/>
      <c r="N18" s="7"/>
      <c r="O18" s="7"/>
    </row>
    <row r="19">
      <c r="A19" s="63" t="s">
        <v>21</v>
      </c>
      <c r="B19" s="95">
        <f>SUM(B3:B18)</f>
        <v>12258.37</v>
      </c>
      <c r="C19" s="7"/>
      <c r="D19" s="7"/>
      <c r="E19" s="7"/>
      <c r="F19" s="7"/>
      <c r="G19" s="7"/>
      <c r="H19" s="7"/>
      <c r="I19" s="32" t="s">
        <v>208</v>
      </c>
      <c r="J19" s="76">
        <v>42.15</v>
      </c>
      <c r="K19" s="170" t="s">
        <v>185</v>
      </c>
      <c r="L19" s="75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26" t="s">
        <v>220</v>
      </c>
      <c r="J20" s="77">
        <v>91.81</v>
      </c>
      <c r="K20" s="169" t="s">
        <v>189</v>
      </c>
      <c r="L20" s="74" t="s">
        <v>116</v>
      </c>
      <c r="M20" s="7"/>
      <c r="N20" s="7"/>
      <c r="O20" s="7"/>
    </row>
    <row r="21">
      <c r="E21" s="70" t="s">
        <v>22</v>
      </c>
      <c r="F21" s="2"/>
      <c r="H21" s="7"/>
      <c r="I21" s="32" t="s">
        <v>208</v>
      </c>
      <c r="J21" s="76">
        <v>61.3</v>
      </c>
      <c r="K21" s="170" t="s">
        <v>173</v>
      </c>
      <c r="L21" s="75" t="s">
        <v>116</v>
      </c>
      <c r="M21" s="7"/>
      <c r="N21" s="7"/>
    </row>
    <row r="22">
      <c r="E22" s="11" t="s">
        <v>23</v>
      </c>
      <c r="F22" s="2"/>
      <c r="H22" s="7"/>
      <c r="I22" s="26" t="s">
        <v>220</v>
      </c>
      <c r="J22" s="77">
        <v>69.85</v>
      </c>
      <c r="K22" s="169" t="s">
        <v>186</v>
      </c>
      <c r="L22" s="74" t="s">
        <v>116</v>
      </c>
      <c r="M22" s="7"/>
      <c r="N22" s="7"/>
    </row>
    <row r="23">
      <c r="E23" s="18" t="s">
        <v>134</v>
      </c>
      <c r="F23" s="143">
        <v>10.0</v>
      </c>
      <c r="H23" s="142"/>
      <c r="I23" s="32" t="s">
        <v>222</v>
      </c>
      <c r="J23" s="76">
        <v>133.34</v>
      </c>
      <c r="K23" s="170" t="s">
        <v>177</v>
      </c>
      <c r="L23" s="75" t="s">
        <v>116</v>
      </c>
      <c r="M23" s="7"/>
      <c r="N23" s="7"/>
    </row>
    <row r="24">
      <c r="E24" s="26" t="s">
        <v>137</v>
      </c>
      <c r="F24" s="144">
        <v>149.9</v>
      </c>
      <c r="H24" s="142"/>
      <c r="I24" s="26"/>
      <c r="J24" s="77"/>
      <c r="K24" s="169"/>
      <c r="L24" s="74"/>
      <c r="M24" s="7"/>
      <c r="N24" s="7"/>
    </row>
    <row r="25">
      <c r="E25" s="32" t="s">
        <v>138</v>
      </c>
      <c r="F25" s="145">
        <v>59.9</v>
      </c>
      <c r="H25" s="142"/>
      <c r="I25" s="32"/>
      <c r="J25" s="76"/>
      <c r="K25" s="170"/>
      <c r="L25" s="75"/>
      <c r="M25" s="7"/>
      <c r="N25" s="7"/>
    </row>
    <row r="26">
      <c r="E26" s="26"/>
      <c r="F26" s="144"/>
      <c r="H26" s="142"/>
      <c r="I26" s="26"/>
      <c r="J26" s="77"/>
      <c r="K26" s="169"/>
      <c r="L26" s="74"/>
      <c r="M26" s="7"/>
      <c r="N26" s="7"/>
    </row>
    <row r="27">
      <c r="E27" s="32"/>
      <c r="F27" s="145"/>
      <c r="H27" s="142"/>
      <c r="I27" s="32"/>
      <c r="J27" s="76"/>
      <c r="K27" s="170"/>
      <c r="L27" s="75"/>
      <c r="M27" s="7"/>
      <c r="N27" s="7"/>
    </row>
    <row r="28">
      <c r="E28" s="26"/>
      <c r="F28" s="144"/>
      <c r="H28" s="7"/>
      <c r="I28" s="26"/>
      <c r="J28" s="77"/>
      <c r="K28" s="169"/>
      <c r="L28" s="74"/>
      <c r="M28" s="7"/>
      <c r="N28" s="7"/>
    </row>
    <row r="29">
      <c r="E29" s="32"/>
      <c r="F29" s="145"/>
      <c r="H29" s="7"/>
      <c r="I29" s="54"/>
      <c r="J29" s="171"/>
      <c r="K29" s="172"/>
      <c r="L29" s="99"/>
      <c r="M29" s="7"/>
      <c r="N29" s="7"/>
    </row>
    <row r="30">
      <c r="E30" s="26"/>
      <c r="F30" s="77"/>
      <c r="H30" s="7"/>
      <c r="I30" s="57"/>
      <c r="J30" s="173"/>
      <c r="K30" s="174"/>
      <c r="L30" s="98"/>
      <c r="M30" s="7"/>
      <c r="N30" s="7"/>
    </row>
    <row r="31">
      <c r="E31" s="32"/>
      <c r="F31" s="76"/>
      <c r="H31" s="7"/>
      <c r="I31" s="54"/>
      <c r="J31" s="171"/>
      <c r="K31" s="172"/>
      <c r="L31" s="99"/>
      <c r="M31" s="7"/>
      <c r="N31" s="7"/>
    </row>
    <row r="32">
      <c r="E32" s="26"/>
      <c r="F32" s="26"/>
      <c r="H32" s="7"/>
      <c r="I32" s="57"/>
      <c r="J32" s="173"/>
      <c r="K32" s="174"/>
      <c r="L32" s="98"/>
      <c r="M32" s="7"/>
      <c r="N32" s="7"/>
    </row>
    <row r="33">
      <c r="E33" s="32"/>
      <c r="F33" s="76"/>
      <c r="H33" s="7"/>
      <c r="I33" s="63" t="s">
        <v>21</v>
      </c>
      <c r="J33" s="139">
        <f>SUM(J4:J32)</f>
        <v>2777.08</v>
      </c>
      <c r="K33" s="2"/>
      <c r="L33" s="7"/>
      <c r="M33" s="7"/>
      <c r="N33" s="7"/>
    </row>
    <row r="34">
      <c r="E34" s="78" t="s">
        <v>28</v>
      </c>
      <c r="F34" s="79">
        <f>SUM(F23:F33)</f>
        <v>219.8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33:K3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4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3400.0</v>
      </c>
      <c r="C3" s="15" t="s">
        <v>7</v>
      </c>
      <c r="D3" s="4"/>
      <c r="E3" s="16" t="s">
        <v>31</v>
      </c>
      <c r="F3" s="17">
        <v>5133.97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1918.0</v>
      </c>
      <c r="C4" s="23" t="s">
        <v>7</v>
      </c>
      <c r="D4" s="4"/>
      <c r="E4" s="24" t="s">
        <v>32</v>
      </c>
      <c r="F4" s="25">
        <v>0.0</v>
      </c>
      <c r="G4" s="7"/>
      <c r="H4" s="4"/>
      <c r="I4" s="176" t="s">
        <v>236</v>
      </c>
      <c r="J4" s="136">
        <v>16.68</v>
      </c>
      <c r="K4" s="137" t="s">
        <v>237</v>
      </c>
      <c r="L4" s="94" t="s">
        <v>141</v>
      </c>
      <c r="M4" s="4"/>
      <c r="N4" s="28">
        <f>B19</f>
        <v>19978.46</v>
      </c>
      <c r="O4" s="9"/>
      <c r="P4" s="7"/>
      <c r="Q4" s="29">
        <v>0.0</v>
      </c>
    </row>
    <row r="5">
      <c r="A5" s="47" t="s">
        <v>127</v>
      </c>
      <c r="B5" s="115">
        <v>1572.0</v>
      </c>
      <c r="C5" s="15" t="s">
        <v>7</v>
      </c>
      <c r="D5" s="4"/>
      <c r="E5" s="30" t="s">
        <v>117</v>
      </c>
      <c r="F5" s="31">
        <v>12000.0</v>
      </c>
      <c r="G5" s="7"/>
      <c r="H5" s="4"/>
      <c r="I5" s="167" t="s">
        <v>238</v>
      </c>
      <c r="J5" s="130">
        <v>280.24</v>
      </c>
      <c r="K5" s="131" t="s">
        <v>239</v>
      </c>
      <c r="L5" s="90" t="s">
        <v>141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166" t="s">
        <v>240</v>
      </c>
      <c r="J6" s="133">
        <v>645.33</v>
      </c>
      <c r="K6" s="134" t="s">
        <v>241</v>
      </c>
      <c r="L6" s="168" t="s">
        <v>141</v>
      </c>
      <c r="M6" s="67"/>
      <c r="N6" s="28">
        <f>F18</f>
        <v>17133.97</v>
      </c>
      <c r="O6" s="9"/>
      <c r="P6" s="7"/>
      <c r="Q6" s="7"/>
      <c r="R6" s="7"/>
    </row>
    <row r="7">
      <c r="A7" s="37" t="s">
        <v>15</v>
      </c>
      <c r="B7" s="122">
        <v>1500.0</v>
      </c>
      <c r="C7" s="15" t="s">
        <v>7</v>
      </c>
      <c r="D7" s="4"/>
      <c r="E7" s="39"/>
      <c r="F7" s="40"/>
      <c r="G7" s="7"/>
      <c r="H7" s="4"/>
      <c r="I7" s="167" t="s">
        <v>116</v>
      </c>
      <c r="J7" s="130">
        <v>69.25</v>
      </c>
      <c r="K7" s="131" t="s">
        <v>242</v>
      </c>
      <c r="L7" s="177" t="s">
        <v>141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166" t="s">
        <v>243</v>
      </c>
      <c r="J8" s="133">
        <v>44.86</v>
      </c>
      <c r="K8" s="134" t="s">
        <v>244</v>
      </c>
      <c r="L8" s="92" t="s">
        <v>141</v>
      </c>
      <c r="M8" s="7"/>
      <c r="N8" s="42">
        <f>Abril26!Q4</f>
        <v>0</v>
      </c>
      <c r="P8" s="7"/>
      <c r="Q8" s="7"/>
      <c r="R8" s="7"/>
    </row>
    <row r="9">
      <c r="A9" s="43" t="s">
        <v>129</v>
      </c>
      <c r="B9" s="122">
        <v>520.0</v>
      </c>
      <c r="C9" s="15" t="s">
        <v>132</v>
      </c>
      <c r="D9" s="4"/>
      <c r="E9" s="39"/>
      <c r="F9" s="44"/>
      <c r="G9" s="7"/>
      <c r="H9" s="4"/>
      <c r="I9" s="166" t="s">
        <v>245</v>
      </c>
      <c r="J9" s="133">
        <v>37.47</v>
      </c>
      <c r="K9" s="134" t="s">
        <v>246</v>
      </c>
      <c r="L9" s="168" t="s">
        <v>141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43.03</v>
      </c>
      <c r="C10" s="34" t="s">
        <v>7</v>
      </c>
      <c r="D10" s="4"/>
      <c r="E10" s="35"/>
      <c r="F10" s="45"/>
      <c r="G10" s="7"/>
      <c r="H10" s="4"/>
      <c r="I10" s="167" t="s">
        <v>247</v>
      </c>
      <c r="J10" s="130">
        <v>218.0</v>
      </c>
      <c r="K10" s="131" t="s">
        <v>248</v>
      </c>
      <c r="L10" s="90" t="s">
        <v>141</v>
      </c>
      <c r="M10" s="7"/>
      <c r="N10" s="87">
        <v>0.0</v>
      </c>
      <c r="P10" s="7"/>
      <c r="Q10" s="7"/>
      <c r="R10" s="7"/>
    </row>
    <row r="11">
      <c r="A11" s="47" t="s">
        <v>187</v>
      </c>
      <c r="B11" s="115">
        <v>539.29</v>
      </c>
      <c r="C11" s="15" t="s">
        <v>7</v>
      </c>
      <c r="D11" s="4"/>
      <c r="E11" s="4"/>
      <c r="F11" s="48"/>
      <c r="G11" s="7"/>
      <c r="H11" s="4"/>
      <c r="I11" s="166" t="s">
        <v>249</v>
      </c>
      <c r="J11" s="133">
        <v>783.34</v>
      </c>
      <c r="K11" s="134" t="s">
        <v>248</v>
      </c>
      <c r="L11" s="92" t="s">
        <v>146</v>
      </c>
      <c r="M11" s="7"/>
      <c r="N11" s="7"/>
      <c r="O11" s="7"/>
      <c r="P11" s="7"/>
      <c r="Q11" s="7"/>
      <c r="R11" s="7"/>
    </row>
    <row r="12">
      <c r="A12" s="41" t="s">
        <v>228</v>
      </c>
      <c r="B12" s="154">
        <v>110.71</v>
      </c>
      <c r="C12" s="34" t="s">
        <v>7</v>
      </c>
      <c r="D12" s="4"/>
      <c r="E12" s="35"/>
      <c r="F12" s="45"/>
      <c r="G12" s="7"/>
      <c r="H12" s="4"/>
      <c r="I12" s="167" t="s">
        <v>250</v>
      </c>
      <c r="J12" s="130">
        <v>572.0</v>
      </c>
      <c r="K12" s="131" t="s">
        <v>251</v>
      </c>
      <c r="L12" s="90" t="s">
        <v>146</v>
      </c>
      <c r="M12" s="7"/>
      <c r="N12" s="7"/>
      <c r="O12" s="7"/>
      <c r="P12" s="7"/>
      <c r="Q12" s="7"/>
      <c r="R12" s="7"/>
    </row>
    <row r="13">
      <c r="A13" s="47" t="s">
        <v>252</v>
      </c>
      <c r="B13" s="115">
        <v>715.64</v>
      </c>
      <c r="C13" s="15" t="s">
        <v>7</v>
      </c>
      <c r="D13" s="4"/>
      <c r="E13" s="4"/>
      <c r="F13" s="48"/>
      <c r="G13" s="7"/>
      <c r="H13" s="4"/>
      <c r="I13" s="80" t="s">
        <v>253</v>
      </c>
      <c r="J13" s="124">
        <v>1000.0</v>
      </c>
      <c r="K13" s="163" t="s">
        <v>254</v>
      </c>
      <c r="L13" s="92" t="s">
        <v>146</v>
      </c>
      <c r="M13" s="7"/>
      <c r="N13" s="7"/>
      <c r="O13" s="7"/>
      <c r="P13" s="7"/>
      <c r="Q13" s="7"/>
      <c r="R13" s="7"/>
    </row>
    <row r="14">
      <c r="A14" s="41" t="s">
        <v>249</v>
      </c>
      <c r="B14" s="154">
        <v>9000.0</v>
      </c>
      <c r="C14" s="34" t="s">
        <v>7</v>
      </c>
      <c r="D14" s="4"/>
      <c r="E14" s="35"/>
      <c r="F14" s="45"/>
      <c r="G14" s="7"/>
      <c r="H14" s="4"/>
      <c r="I14" s="26"/>
      <c r="J14" s="27"/>
      <c r="K14" s="169"/>
      <c r="L14" s="74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32"/>
      <c r="J15" s="33"/>
      <c r="K15" s="170"/>
      <c r="L15" s="75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26"/>
      <c r="J16" s="27"/>
      <c r="K16" s="169"/>
      <c r="L16" s="74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32"/>
      <c r="J17" s="76"/>
      <c r="K17" s="170"/>
      <c r="L17" s="75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17133.97</v>
      </c>
      <c r="G18" s="7"/>
      <c r="H18" s="7"/>
      <c r="I18" s="26"/>
      <c r="J18" s="77"/>
      <c r="K18" s="169"/>
      <c r="L18" s="74"/>
      <c r="M18" s="7"/>
      <c r="N18" s="7"/>
      <c r="O18" s="7"/>
    </row>
    <row r="19">
      <c r="A19" s="63" t="s">
        <v>21</v>
      </c>
      <c r="B19" s="95">
        <f>SUM(B3:B18)</f>
        <v>19978.46</v>
      </c>
      <c r="C19" s="7"/>
      <c r="D19" s="7"/>
      <c r="E19" s="7"/>
      <c r="F19" s="7"/>
      <c r="G19" s="7"/>
      <c r="H19" s="7"/>
      <c r="I19" s="32"/>
      <c r="J19" s="76"/>
      <c r="K19" s="170"/>
      <c r="L19" s="75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26"/>
      <c r="J20" s="77"/>
      <c r="K20" s="169"/>
      <c r="L20" s="74"/>
      <c r="M20" s="7"/>
      <c r="N20" s="7"/>
      <c r="O20" s="7"/>
    </row>
    <row r="21">
      <c r="E21" s="70" t="s">
        <v>22</v>
      </c>
      <c r="F21" s="2"/>
      <c r="H21" s="7"/>
      <c r="I21" s="32"/>
      <c r="J21" s="76"/>
      <c r="K21" s="170"/>
      <c r="L21" s="75"/>
      <c r="M21" s="7"/>
      <c r="N21" s="7"/>
    </row>
    <row r="22">
      <c r="E22" s="11" t="s">
        <v>23</v>
      </c>
      <c r="F22" s="2"/>
      <c r="H22" s="7"/>
      <c r="I22" s="26"/>
      <c r="J22" s="77"/>
      <c r="K22" s="169"/>
      <c r="L22" s="74"/>
      <c r="M22" s="7"/>
      <c r="N22" s="7"/>
    </row>
    <row r="23">
      <c r="E23" s="18" t="s">
        <v>134</v>
      </c>
      <c r="F23" s="143">
        <v>10.0</v>
      </c>
      <c r="H23" s="142"/>
      <c r="I23" s="32"/>
      <c r="J23" s="76"/>
      <c r="K23" s="170"/>
      <c r="L23" s="75"/>
      <c r="M23" s="7"/>
      <c r="N23" s="7"/>
    </row>
    <row r="24">
      <c r="E24" s="26" t="s">
        <v>137</v>
      </c>
      <c r="F24" s="144">
        <v>149.9</v>
      </c>
      <c r="H24" s="142"/>
      <c r="I24" s="26"/>
      <c r="J24" s="77"/>
      <c r="K24" s="169"/>
      <c r="L24" s="74"/>
      <c r="M24" s="7"/>
      <c r="N24" s="7"/>
    </row>
    <row r="25">
      <c r="E25" s="32" t="s">
        <v>138</v>
      </c>
      <c r="F25" s="145">
        <v>59.9</v>
      </c>
      <c r="H25" s="142"/>
      <c r="I25" s="32"/>
      <c r="J25" s="76"/>
      <c r="K25" s="170"/>
      <c r="L25" s="75"/>
      <c r="M25" s="7"/>
      <c r="N25" s="7"/>
    </row>
    <row r="26">
      <c r="E26" s="26" t="s">
        <v>255</v>
      </c>
      <c r="F26" s="144">
        <v>10.0</v>
      </c>
      <c r="H26" s="142"/>
      <c r="I26" s="26"/>
      <c r="J26" s="77"/>
      <c r="K26" s="169"/>
      <c r="L26" s="74"/>
      <c r="M26" s="7"/>
      <c r="N26" s="7"/>
    </row>
    <row r="27">
      <c r="E27" s="176" t="s">
        <v>236</v>
      </c>
      <c r="F27" s="136">
        <v>16.68</v>
      </c>
      <c r="H27" s="142"/>
      <c r="I27" s="32"/>
      <c r="J27" s="76"/>
      <c r="K27" s="170"/>
      <c r="L27" s="75"/>
      <c r="M27" s="7"/>
      <c r="N27" s="7"/>
    </row>
    <row r="28">
      <c r="E28" s="26"/>
      <c r="F28" s="144"/>
      <c r="G28" s="73" t="s">
        <v>233</v>
      </c>
      <c r="H28" s="7"/>
      <c r="I28" s="26"/>
      <c r="J28" s="77"/>
      <c r="K28" s="169"/>
      <c r="L28" s="74"/>
      <c r="M28" s="7"/>
      <c r="N28" s="7"/>
    </row>
    <row r="29">
      <c r="E29" s="32"/>
      <c r="F29" s="145"/>
      <c r="H29" s="7"/>
      <c r="I29" s="54"/>
      <c r="J29" s="171"/>
      <c r="K29" s="172"/>
      <c r="L29" s="99"/>
      <c r="M29" s="7"/>
      <c r="N29" s="7"/>
    </row>
    <row r="30">
      <c r="E30" s="26"/>
      <c r="F30" s="77"/>
      <c r="H30" s="7"/>
      <c r="I30" s="57"/>
      <c r="J30" s="173"/>
      <c r="K30" s="174"/>
      <c r="L30" s="98"/>
      <c r="M30" s="7"/>
      <c r="N30" s="7"/>
    </row>
    <row r="31">
      <c r="E31" s="32"/>
      <c r="F31" s="76"/>
      <c r="H31" s="7"/>
      <c r="I31" s="54"/>
      <c r="J31" s="171"/>
      <c r="K31" s="172"/>
      <c r="L31" s="99"/>
      <c r="M31" s="7"/>
      <c r="N31" s="7"/>
    </row>
    <row r="32">
      <c r="E32" s="26"/>
      <c r="F32" s="26"/>
      <c r="H32" s="7"/>
      <c r="I32" s="57"/>
      <c r="J32" s="173"/>
      <c r="K32" s="174"/>
      <c r="L32" s="98"/>
      <c r="M32" s="7"/>
      <c r="N32" s="7"/>
    </row>
    <row r="33">
      <c r="E33" s="32"/>
      <c r="F33" s="76"/>
      <c r="H33" s="7"/>
      <c r="I33" s="63" t="s">
        <v>21</v>
      </c>
      <c r="J33" s="139">
        <f>SUM(J4:J32)</f>
        <v>3667.17</v>
      </c>
      <c r="K33" s="2"/>
      <c r="L33" s="7"/>
      <c r="M33" s="7"/>
      <c r="N33" s="7"/>
    </row>
    <row r="34">
      <c r="E34" s="78" t="s">
        <v>28</v>
      </c>
      <c r="F34" s="79">
        <f>SUM(F23:F33)</f>
        <v>246.48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33:K3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2400.0</v>
      </c>
      <c r="C3" s="15" t="s">
        <v>256</v>
      </c>
      <c r="D3" s="4"/>
      <c r="E3" s="16" t="s">
        <v>31</v>
      </c>
      <c r="F3" s="17">
        <v>3400.0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2533.98</v>
      </c>
      <c r="C4" s="23" t="s">
        <v>7</v>
      </c>
      <c r="D4" s="4"/>
      <c r="E4" s="24" t="s">
        <v>32</v>
      </c>
      <c r="F4" s="25">
        <v>3050.0</v>
      </c>
      <c r="G4" s="7"/>
      <c r="H4" s="4"/>
      <c r="I4" s="176" t="s">
        <v>249</v>
      </c>
      <c r="J4" s="136">
        <v>783.34</v>
      </c>
      <c r="K4" s="137" t="s">
        <v>248</v>
      </c>
      <c r="L4" s="94" t="s">
        <v>146</v>
      </c>
      <c r="M4" s="4"/>
      <c r="N4" s="28">
        <f>B19</f>
        <v>13095.65</v>
      </c>
      <c r="O4" s="9"/>
      <c r="P4" s="7"/>
      <c r="Q4" s="29">
        <v>0.0</v>
      </c>
    </row>
    <row r="5">
      <c r="A5" s="47" t="s">
        <v>127</v>
      </c>
      <c r="B5" s="115">
        <v>3550.53</v>
      </c>
      <c r="C5" s="15" t="s">
        <v>7</v>
      </c>
      <c r="D5" s="4"/>
      <c r="E5" s="30"/>
      <c r="F5" s="31"/>
      <c r="G5" s="7"/>
      <c r="H5" s="4"/>
      <c r="I5" s="167" t="s">
        <v>250</v>
      </c>
      <c r="J5" s="130">
        <v>572.0</v>
      </c>
      <c r="K5" s="131" t="s">
        <v>251</v>
      </c>
      <c r="L5" s="90" t="s">
        <v>146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 t="s">
        <v>7</v>
      </c>
      <c r="D6" s="4"/>
      <c r="E6" s="35"/>
      <c r="F6" s="36"/>
      <c r="G6" s="7"/>
      <c r="H6" s="4"/>
      <c r="I6" s="80" t="s">
        <v>253</v>
      </c>
      <c r="J6" s="124">
        <v>1000.0</v>
      </c>
      <c r="K6" s="125" t="s">
        <v>254</v>
      </c>
      <c r="L6" s="92" t="s">
        <v>146</v>
      </c>
      <c r="M6" s="67"/>
      <c r="N6" s="28">
        <f>F18</f>
        <v>6450</v>
      </c>
      <c r="O6" s="9"/>
      <c r="P6" s="7"/>
      <c r="Q6" s="7"/>
      <c r="R6" s="7"/>
    </row>
    <row r="7">
      <c r="A7" s="37" t="s">
        <v>15</v>
      </c>
      <c r="B7" s="122">
        <v>2730.0</v>
      </c>
      <c r="C7" s="15" t="s">
        <v>7</v>
      </c>
      <c r="D7" s="4"/>
      <c r="E7" s="39"/>
      <c r="F7" s="40"/>
      <c r="G7" s="7"/>
      <c r="H7" s="4"/>
      <c r="I7" s="82" t="s">
        <v>236</v>
      </c>
      <c r="J7" s="120">
        <v>16.68</v>
      </c>
      <c r="K7" s="121" t="s">
        <v>257</v>
      </c>
      <c r="L7" s="177" t="s">
        <v>141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 t="s">
        <v>7</v>
      </c>
      <c r="D8" s="4"/>
      <c r="E8" s="35"/>
      <c r="F8" s="36"/>
      <c r="G8" s="7"/>
      <c r="H8" s="4"/>
      <c r="I8" s="80" t="s">
        <v>243</v>
      </c>
      <c r="J8" s="124">
        <v>44.86</v>
      </c>
      <c r="K8" s="125" t="s">
        <v>258</v>
      </c>
      <c r="L8" s="92" t="s">
        <v>141</v>
      </c>
      <c r="M8" s="7"/>
      <c r="N8" s="42">
        <f>Maio26!Q4</f>
        <v>0</v>
      </c>
      <c r="P8" s="7"/>
      <c r="Q8" s="7"/>
      <c r="R8" s="7"/>
    </row>
    <row r="9">
      <c r="A9" s="43" t="s">
        <v>129</v>
      </c>
      <c r="B9" s="122">
        <v>521.82</v>
      </c>
      <c r="C9" s="15" t="s">
        <v>7</v>
      </c>
      <c r="D9" s="4"/>
      <c r="E9" s="39"/>
      <c r="F9" s="44"/>
      <c r="G9" s="7"/>
      <c r="H9" s="4"/>
      <c r="I9" s="82" t="s">
        <v>116</v>
      </c>
      <c r="J9" s="120">
        <v>69.25</v>
      </c>
      <c r="K9" s="121" t="s">
        <v>259</v>
      </c>
      <c r="L9" s="177" t="s">
        <v>141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45.73</v>
      </c>
      <c r="C10" s="34" t="s">
        <v>7</v>
      </c>
      <c r="D10" s="4"/>
      <c r="E10" s="35"/>
      <c r="F10" s="45"/>
      <c r="G10" s="7"/>
      <c r="H10" s="4"/>
      <c r="I10" s="32" t="s">
        <v>260</v>
      </c>
      <c r="J10" s="33">
        <v>218.48</v>
      </c>
      <c r="K10" s="170" t="s">
        <v>261</v>
      </c>
      <c r="L10" s="99" t="s">
        <v>141</v>
      </c>
      <c r="M10" s="7"/>
      <c r="N10" s="87">
        <v>0.0</v>
      </c>
      <c r="P10" s="7"/>
      <c r="Q10" s="7"/>
      <c r="R10" s="7"/>
    </row>
    <row r="11">
      <c r="A11" s="47" t="s">
        <v>262</v>
      </c>
      <c r="B11" s="115">
        <v>543.09</v>
      </c>
      <c r="C11" s="15" t="s">
        <v>7</v>
      </c>
      <c r="D11" s="4"/>
      <c r="E11" s="4"/>
      <c r="F11" s="48"/>
      <c r="G11" s="7"/>
      <c r="H11" s="4"/>
      <c r="I11" s="26" t="s">
        <v>208</v>
      </c>
      <c r="J11" s="27">
        <v>79.92</v>
      </c>
      <c r="K11" s="169" t="s">
        <v>241</v>
      </c>
      <c r="L11" s="74" t="s">
        <v>116</v>
      </c>
      <c r="M11" s="7"/>
      <c r="N11" s="7"/>
      <c r="O11" s="7"/>
      <c r="P11" s="7"/>
      <c r="Q11" s="7"/>
      <c r="R11" s="7"/>
    </row>
    <row r="12">
      <c r="A12" s="41" t="s">
        <v>228</v>
      </c>
      <c r="B12" s="154">
        <v>110.71</v>
      </c>
      <c r="C12" s="34" t="s">
        <v>7</v>
      </c>
      <c r="D12" s="4"/>
      <c r="E12" s="35"/>
      <c r="F12" s="45"/>
      <c r="G12" s="7"/>
      <c r="H12" s="4"/>
      <c r="I12" s="32" t="s">
        <v>208</v>
      </c>
      <c r="J12" s="76">
        <v>72.91</v>
      </c>
      <c r="K12" s="170" t="s">
        <v>241</v>
      </c>
      <c r="L12" s="75" t="s">
        <v>116</v>
      </c>
      <c r="M12" s="7"/>
      <c r="N12" s="7"/>
      <c r="O12" s="7"/>
      <c r="P12" s="7"/>
      <c r="Q12" s="7"/>
      <c r="R12" s="7"/>
    </row>
    <row r="13">
      <c r="A13" s="47"/>
      <c r="B13" s="156"/>
      <c r="C13" s="53"/>
      <c r="D13" s="4"/>
      <c r="E13" s="4"/>
      <c r="F13" s="48"/>
      <c r="G13" s="7"/>
      <c r="H13" s="4"/>
      <c r="I13" s="26" t="s">
        <v>263</v>
      </c>
      <c r="J13" s="77">
        <v>258.57</v>
      </c>
      <c r="K13" s="169" t="s">
        <v>264</v>
      </c>
      <c r="L13" s="74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 t="s">
        <v>205</v>
      </c>
      <c r="J14" s="76">
        <v>107.91</v>
      </c>
      <c r="K14" s="170" t="s">
        <v>265</v>
      </c>
      <c r="L14" s="75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 t="s">
        <v>208</v>
      </c>
      <c r="J15" s="77">
        <v>42.15</v>
      </c>
      <c r="K15" s="169" t="s">
        <v>266</v>
      </c>
      <c r="L15" s="74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 t="s">
        <v>208</v>
      </c>
      <c r="J16" s="76">
        <v>69.85</v>
      </c>
      <c r="K16" s="170" t="s">
        <v>267</v>
      </c>
      <c r="L16" s="75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 t="s">
        <v>268</v>
      </c>
      <c r="J17" s="77">
        <v>100.19</v>
      </c>
      <c r="K17" s="169" t="s">
        <v>257</v>
      </c>
      <c r="L17" s="74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6450</v>
      </c>
      <c r="G18" s="7"/>
      <c r="H18" s="7"/>
      <c r="I18" s="32" t="s">
        <v>269</v>
      </c>
      <c r="J18" s="76">
        <v>104.17</v>
      </c>
      <c r="K18" s="170" t="s">
        <v>246</v>
      </c>
      <c r="L18" s="75" t="s">
        <v>116</v>
      </c>
      <c r="M18" s="7"/>
      <c r="N18" s="7"/>
      <c r="O18" s="7"/>
    </row>
    <row r="19">
      <c r="A19" s="63" t="s">
        <v>21</v>
      </c>
      <c r="B19" s="95">
        <f>SUM(B3:B18)</f>
        <v>13095.65</v>
      </c>
      <c r="C19" s="7"/>
      <c r="D19" s="7"/>
      <c r="E19" s="7"/>
      <c r="F19" s="7"/>
      <c r="G19" s="7"/>
      <c r="H19" s="7"/>
      <c r="I19" s="26" t="s">
        <v>270</v>
      </c>
      <c r="J19" s="77">
        <v>63.3</v>
      </c>
      <c r="K19" s="169" t="s">
        <v>261</v>
      </c>
      <c r="L19" s="74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32" t="s">
        <v>208</v>
      </c>
      <c r="J20" s="76">
        <v>138.33</v>
      </c>
      <c r="K20" s="170" t="s">
        <v>271</v>
      </c>
      <c r="L20" s="75" t="s">
        <v>116</v>
      </c>
      <c r="M20" s="7"/>
      <c r="N20" s="7"/>
      <c r="O20" s="7"/>
    </row>
    <row r="21">
      <c r="E21" s="70" t="s">
        <v>22</v>
      </c>
      <c r="F21" s="2"/>
      <c r="H21" s="7"/>
      <c r="I21" s="26" t="s">
        <v>208</v>
      </c>
      <c r="J21" s="77">
        <v>111.2</v>
      </c>
      <c r="K21" s="169" t="s">
        <v>237</v>
      </c>
      <c r="L21" s="74" t="s">
        <v>116</v>
      </c>
      <c r="M21" s="7"/>
      <c r="N21" s="7"/>
    </row>
    <row r="22">
      <c r="E22" s="11" t="s">
        <v>23</v>
      </c>
      <c r="F22" s="2"/>
      <c r="H22" s="7"/>
      <c r="I22" s="18" t="s">
        <v>208</v>
      </c>
      <c r="J22" s="178">
        <v>146.27</v>
      </c>
      <c r="K22" s="179" t="s">
        <v>271</v>
      </c>
      <c r="L22" s="72" t="s">
        <v>116</v>
      </c>
      <c r="M22" s="7"/>
      <c r="N22" s="7"/>
    </row>
    <row r="23">
      <c r="E23" s="18" t="s">
        <v>134</v>
      </c>
      <c r="F23" s="143">
        <v>10.0</v>
      </c>
      <c r="H23" s="142"/>
      <c r="I23" s="63" t="s">
        <v>21</v>
      </c>
      <c r="J23" s="139">
        <f>SUM(J4:J22)</f>
        <v>3999.38</v>
      </c>
      <c r="K23" s="2"/>
      <c r="L23" s="180"/>
      <c r="M23" s="7"/>
      <c r="N23" s="7"/>
    </row>
    <row r="24">
      <c r="E24" s="26" t="s">
        <v>137</v>
      </c>
      <c r="F24" s="144">
        <v>149.9</v>
      </c>
      <c r="H24" s="142"/>
      <c r="I24" s="181"/>
      <c r="J24" s="182"/>
      <c r="K24" s="183"/>
      <c r="L24" s="180"/>
      <c r="M24" s="7"/>
      <c r="N24" s="7"/>
    </row>
    <row r="25">
      <c r="E25" s="32" t="s">
        <v>138</v>
      </c>
      <c r="F25" s="145">
        <v>59.9</v>
      </c>
      <c r="H25" s="142"/>
      <c r="I25" s="181"/>
      <c r="J25" s="182"/>
      <c r="K25" s="183"/>
      <c r="L25" s="180"/>
      <c r="M25" s="7"/>
      <c r="N25" s="7"/>
    </row>
    <row r="26">
      <c r="E26" s="26" t="s">
        <v>255</v>
      </c>
      <c r="F26" s="144">
        <v>10.0</v>
      </c>
      <c r="H26" s="142"/>
      <c r="I26" s="181"/>
      <c r="J26" s="182"/>
      <c r="K26" s="183"/>
      <c r="M26" s="7"/>
      <c r="N26" s="7"/>
    </row>
    <row r="27">
      <c r="E27" s="176" t="s">
        <v>236</v>
      </c>
      <c r="F27" s="136">
        <v>16.68</v>
      </c>
      <c r="H27" s="142"/>
      <c r="I27" s="181"/>
      <c r="J27" s="182"/>
      <c r="K27" s="183"/>
      <c r="L27" s="180"/>
      <c r="M27" s="7"/>
      <c r="N27" s="7"/>
    </row>
    <row r="28">
      <c r="E28" s="26"/>
      <c r="F28" s="144"/>
      <c r="H28" s="7"/>
      <c r="I28" s="181"/>
      <c r="J28" s="182"/>
      <c r="K28" s="183"/>
      <c r="L28" s="180"/>
      <c r="M28" s="7"/>
      <c r="N28" s="7"/>
    </row>
    <row r="29">
      <c r="E29" s="32"/>
      <c r="F29" s="145"/>
      <c r="H29" s="7"/>
      <c r="I29" s="6"/>
      <c r="J29" s="184"/>
      <c r="K29" s="185"/>
      <c r="L29" s="186"/>
      <c r="M29" s="7"/>
      <c r="N29" s="7"/>
    </row>
    <row r="30">
      <c r="E30" s="26"/>
      <c r="F30" s="77"/>
      <c r="H30" s="7"/>
      <c r="I30" s="6"/>
      <c r="J30" s="184"/>
      <c r="K30" s="185"/>
      <c r="L30" s="186"/>
      <c r="M30" s="7"/>
      <c r="N30" s="7"/>
    </row>
    <row r="31">
      <c r="E31" s="32"/>
      <c r="F31" s="76"/>
      <c r="H31" s="7"/>
      <c r="I31" s="6"/>
      <c r="J31" s="184"/>
      <c r="K31" s="185"/>
      <c r="L31" s="186"/>
      <c r="M31" s="7"/>
      <c r="N31" s="7"/>
    </row>
    <row r="32">
      <c r="E32" s="26"/>
      <c r="F32" s="26"/>
      <c r="H32" s="7"/>
      <c r="I32" s="6"/>
      <c r="J32" s="184"/>
      <c r="K32" s="185"/>
      <c r="L32" s="186"/>
      <c r="M32" s="7"/>
      <c r="N32" s="7"/>
    </row>
    <row r="33">
      <c r="E33" s="32"/>
      <c r="F33" s="76"/>
      <c r="H33" s="7"/>
      <c r="I33" s="6"/>
      <c r="J33" s="187"/>
      <c r="L33" s="6"/>
      <c r="M33" s="7"/>
      <c r="N33" s="7"/>
    </row>
    <row r="34">
      <c r="E34" s="78" t="s">
        <v>28</v>
      </c>
      <c r="F34" s="79">
        <f>SUM(F23:F33)</f>
        <v>246.48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1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3:K23"/>
    <mergeCell ref="J33:K3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108</v>
      </c>
      <c r="B2" s="9"/>
      <c r="C2" s="10" t="s">
        <v>4</v>
      </c>
      <c r="D2" s="4"/>
      <c r="E2" s="8" t="s">
        <v>108</v>
      </c>
      <c r="F2" s="9"/>
      <c r="G2" s="7"/>
      <c r="H2" s="4"/>
      <c r="I2" s="8" t="s">
        <v>108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47" t="s">
        <v>17</v>
      </c>
      <c r="B3" s="115">
        <v>3500.0</v>
      </c>
      <c r="C3" s="15"/>
      <c r="D3" s="4"/>
      <c r="E3" s="16" t="s">
        <v>31</v>
      </c>
      <c r="F3" s="17">
        <v>5384.32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41" t="s">
        <v>123</v>
      </c>
      <c r="B4" s="118">
        <v>1200.0</v>
      </c>
      <c r="C4" s="23"/>
      <c r="D4" s="4"/>
      <c r="E4" s="24" t="s">
        <v>32</v>
      </c>
      <c r="F4" s="25">
        <v>3050.0</v>
      </c>
      <c r="G4" s="7"/>
      <c r="H4" s="4"/>
      <c r="I4" s="176" t="s">
        <v>249</v>
      </c>
      <c r="J4" s="136">
        <v>783.34</v>
      </c>
      <c r="K4" s="163" t="s">
        <v>261</v>
      </c>
      <c r="L4" s="94" t="s">
        <v>146</v>
      </c>
      <c r="M4" s="4"/>
      <c r="N4" s="28">
        <f>B19</f>
        <v>14141.03</v>
      </c>
      <c r="O4" s="9"/>
      <c r="P4" s="7"/>
      <c r="Q4" s="29">
        <v>0.0</v>
      </c>
    </row>
    <row r="5">
      <c r="A5" s="47" t="s">
        <v>127</v>
      </c>
      <c r="B5" s="115">
        <v>3550.53</v>
      </c>
      <c r="C5" s="15"/>
      <c r="D5" s="4"/>
      <c r="E5" s="30" t="s">
        <v>272</v>
      </c>
      <c r="F5" s="31">
        <v>5487.0</v>
      </c>
      <c r="G5" s="7"/>
      <c r="H5" s="4"/>
      <c r="I5" s="167" t="s">
        <v>250</v>
      </c>
      <c r="J5" s="130">
        <v>572.0</v>
      </c>
      <c r="K5" s="121" t="s">
        <v>241</v>
      </c>
      <c r="L5" s="90" t="s">
        <v>146</v>
      </c>
      <c r="M5" s="4"/>
      <c r="N5" s="20" t="s">
        <v>1</v>
      </c>
      <c r="O5" s="9"/>
      <c r="P5" s="7"/>
      <c r="Q5" s="7"/>
      <c r="R5" s="7"/>
    </row>
    <row r="6">
      <c r="A6" s="21" t="s">
        <v>13</v>
      </c>
      <c r="B6" s="118">
        <v>500.0</v>
      </c>
      <c r="C6" s="34"/>
      <c r="D6" s="4"/>
      <c r="E6" s="35"/>
      <c r="F6" s="36"/>
      <c r="G6" s="7"/>
      <c r="H6" s="4"/>
      <c r="I6" s="80" t="s">
        <v>253</v>
      </c>
      <c r="J6" s="124">
        <v>1000.0</v>
      </c>
      <c r="K6" s="125" t="s">
        <v>273</v>
      </c>
      <c r="L6" s="92" t="s">
        <v>146</v>
      </c>
      <c r="M6" s="67"/>
      <c r="N6" s="28">
        <f>F18</f>
        <v>13921.32</v>
      </c>
      <c r="O6" s="9"/>
      <c r="P6" s="7"/>
      <c r="Q6" s="7"/>
      <c r="R6" s="7"/>
    </row>
    <row r="7">
      <c r="A7" s="37" t="s">
        <v>15</v>
      </c>
      <c r="B7" s="122">
        <v>1500.0</v>
      </c>
      <c r="C7" s="53"/>
      <c r="D7" s="4"/>
      <c r="E7" s="39"/>
      <c r="F7" s="40"/>
      <c r="G7" s="7"/>
      <c r="H7" s="4"/>
      <c r="I7" s="82" t="s">
        <v>274</v>
      </c>
      <c r="J7" s="120">
        <v>711.2</v>
      </c>
      <c r="K7" s="121" t="s">
        <v>271</v>
      </c>
      <c r="L7" s="83" t="s">
        <v>127</v>
      </c>
      <c r="N7" s="12" t="s">
        <v>16</v>
      </c>
      <c r="O7" s="9"/>
      <c r="P7" s="7"/>
      <c r="Q7" s="7"/>
      <c r="R7" s="7"/>
    </row>
    <row r="8">
      <c r="A8" s="21" t="s">
        <v>6</v>
      </c>
      <c r="B8" s="118">
        <v>159.79</v>
      </c>
      <c r="C8" s="34"/>
      <c r="D8" s="4"/>
      <c r="E8" s="35"/>
      <c r="F8" s="36"/>
      <c r="G8" s="7"/>
      <c r="H8" s="4"/>
      <c r="I8" s="80" t="s">
        <v>275</v>
      </c>
      <c r="J8" s="124">
        <v>483.89</v>
      </c>
      <c r="K8" s="125" t="s">
        <v>276</v>
      </c>
      <c r="L8" s="81" t="s">
        <v>127</v>
      </c>
      <c r="M8" s="7"/>
      <c r="N8" s="42">
        <f>Junho26!Q4</f>
        <v>0</v>
      </c>
      <c r="P8" s="7"/>
      <c r="Q8" s="7"/>
      <c r="R8" s="7"/>
    </row>
    <row r="9">
      <c r="A9" s="43" t="s">
        <v>129</v>
      </c>
      <c r="B9" s="122">
        <v>530.0</v>
      </c>
      <c r="C9" s="15"/>
      <c r="D9" s="4"/>
      <c r="E9" s="39"/>
      <c r="F9" s="44"/>
      <c r="G9" s="7"/>
      <c r="H9" s="4"/>
      <c r="I9" s="82" t="s">
        <v>260</v>
      </c>
      <c r="J9" s="120">
        <v>218.48</v>
      </c>
      <c r="K9" s="121" t="s">
        <v>239</v>
      </c>
      <c r="L9" s="90" t="s">
        <v>141</v>
      </c>
      <c r="M9" s="7"/>
      <c r="N9" s="12" t="s">
        <v>19</v>
      </c>
      <c r="O9" s="9"/>
      <c r="P9" s="7"/>
      <c r="Q9" s="7"/>
      <c r="R9" s="7"/>
    </row>
    <row r="10">
      <c r="A10" s="41" t="s">
        <v>148</v>
      </c>
      <c r="B10" s="118">
        <v>40.0</v>
      </c>
      <c r="C10" s="46"/>
      <c r="D10" s="4"/>
      <c r="E10" s="35"/>
      <c r="F10" s="45"/>
      <c r="G10" s="7"/>
      <c r="H10" s="4"/>
      <c r="I10" s="32" t="s">
        <v>116</v>
      </c>
      <c r="J10" s="33">
        <v>69.25</v>
      </c>
      <c r="K10" s="170" t="s">
        <v>277</v>
      </c>
      <c r="L10" s="188" t="s">
        <v>141</v>
      </c>
      <c r="M10" s="7"/>
      <c r="N10" s="87">
        <v>0.0</v>
      </c>
      <c r="P10" s="7"/>
      <c r="Q10" s="7"/>
      <c r="R10" s="7"/>
    </row>
    <row r="11">
      <c r="A11" s="47" t="s">
        <v>187</v>
      </c>
      <c r="B11" s="115">
        <v>550.0</v>
      </c>
      <c r="C11" s="49"/>
      <c r="D11" s="4"/>
      <c r="E11" s="4"/>
      <c r="F11" s="48"/>
      <c r="G11" s="7"/>
      <c r="H11" s="4"/>
      <c r="I11" s="26" t="s">
        <v>236</v>
      </c>
      <c r="J11" s="27">
        <v>16.68</v>
      </c>
      <c r="K11" s="169" t="s">
        <v>278</v>
      </c>
      <c r="L11" s="189" t="s">
        <v>141</v>
      </c>
      <c r="M11" s="7"/>
      <c r="N11" s="7"/>
      <c r="O11" s="7"/>
      <c r="P11" s="7"/>
      <c r="Q11" s="7"/>
      <c r="R11" s="7"/>
    </row>
    <row r="12">
      <c r="A12" s="41" t="s">
        <v>228</v>
      </c>
      <c r="B12" s="154">
        <v>110.71</v>
      </c>
      <c r="C12" s="46"/>
      <c r="D12" s="4"/>
      <c r="E12" s="35"/>
      <c r="F12" s="45"/>
      <c r="G12" s="7"/>
      <c r="H12" s="4"/>
      <c r="I12" s="32" t="s">
        <v>279</v>
      </c>
      <c r="J12" s="76">
        <v>118.66</v>
      </c>
      <c r="K12" s="170" t="s">
        <v>261</v>
      </c>
      <c r="L12" s="190" t="s">
        <v>141</v>
      </c>
      <c r="M12" s="7"/>
      <c r="N12" s="7"/>
      <c r="O12" s="7"/>
      <c r="P12" s="7"/>
      <c r="Q12" s="7"/>
      <c r="R12" s="7"/>
    </row>
    <row r="13">
      <c r="A13" s="47" t="s">
        <v>280</v>
      </c>
      <c r="B13" s="156">
        <v>2500.0</v>
      </c>
      <c r="C13" s="53"/>
      <c r="D13" s="4"/>
      <c r="E13" s="4"/>
      <c r="F13" s="48"/>
      <c r="G13" s="7"/>
      <c r="H13" s="4"/>
      <c r="I13" s="26" t="s">
        <v>281</v>
      </c>
      <c r="J13" s="77">
        <v>452.45</v>
      </c>
      <c r="K13" s="169" t="s">
        <v>246</v>
      </c>
      <c r="L13" s="97" t="s">
        <v>141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 t="s">
        <v>245</v>
      </c>
      <c r="J14" s="32">
        <v>122.58</v>
      </c>
      <c r="K14" s="170" t="s">
        <v>246</v>
      </c>
      <c r="L14" s="75" t="s">
        <v>141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 t="s">
        <v>187</v>
      </c>
      <c r="J15" s="77">
        <v>543.73</v>
      </c>
      <c r="K15" s="169" t="s">
        <v>282</v>
      </c>
      <c r="L15" s="74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 t="s">
        <v>283</v>
      </c>
      <c r="J16" s="76">
        <v>14.25</v>
      </c>
      <c r="K16" s="170" t="s">
        <v>284</v>
      </c>
      <c r="L16" s="75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 t="s">
        <v>188</v>
      </c>
      <c r="J17" s="77">
        <v>55.98</v>
      </c>
      <c r="K17" s="169" t="s">
        <v>246</v>
      </c>
      <c r="L17" s="74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13921.32</v>
      </c>
      <c r="G18" s="7"/>
      <c r="H18" s="7"/>
      <c r="I18" s="32" t="s">
        <v>285</v>
      </c>
      <c r="J18" s="76">
        <v>146.27</v>
      </c>
      <c r="K18" s="170" t="s">
        <v>286</v>
      </c>
      <c r="L18" s="75" t="s">
        <v>116</v>
      </c>
      <c r="M18" s="7"/>
      <c r="N18" s="7"/>
      <c r="O18" s="7"/>
    </row>
    <row r="19">
      <c r="A19" s="63" t="s">
        <v>21</v>
      </c>
      <c r="B19" s="95">
        <f>SUM(B3:B18)</f>
        <v>14141.03</v>
      </c>
      <c r="C19" s="7"/>
      <c r="D19" s="7"/>
      <c r="E19" s="7"/>
      <c r="F19" s="7"/>
      <c r="G19" s="7"/>
      <c r="H19" s="7"/>
      <c r="I19" s="26" t="s">
        <v>287</v>
      </c>
      <c r="J19" s="77">
        <v>111.2</v>
      </c>
      <c r="K19" s="169" t="s">
        <v>286</v>
      </c>
      <c r="L19" s="74" t="s">
        <v>116</v>
      </c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32" t="s">
        <v>288</v>
      </c>
      <c r="J20" s="76">
        <v>138.22</v>
      </c>
      <c r="K20" s="170" t="s">
        <v>286</v>
      </c>
      <c r="L20" s="75" t="s">
        <v>116</v>
      </c>
      <c r="M20" s="7"/>
      <c r="N20" s="7"/>
      <c r="O20" s="7"/>
    </row>
    <row r="21">
      <c r="E21" s="70" t="s">
        <v>22</v>
      </c>
      <c r="F21" s="2"/>
      <c r="H21" s="7"/>
      <c r="I21" s="26" t="s">
        <v>268</v>
      </c>
      <c r="J21" s="77">
        <v>100.19</v>
      </c>
      <c r="K21" s="169" t="s">
        <v>278</v>
      </c>
      <c r="L21" s="74" t="s">
        <v>116</v>
      </c>
      <c r="M21" s="7"/>
      <c r="N21" s="7"/>
    </row>
    <row r="22">
      <c r="E22" s="11" t="s">
        <v>23</v>
      </c>
      <c r="F22" s="2"/>
      <c r="H22" s="7"/>
      <c r="I22" s="18" t="s">
        <v>220</v>
      </c>
      <c r="J22" s="178">
        <v>42.15</v>
      </c>
      <c r="K22" s="179" t="s">
        <v>265</v>
      </c>
      <c r="L22" s="72" t="s">
        <v>116</v>
      </c>
      <c r="M22" s="7"/>
      <c r="N22" s="7"/>
    </row>
    <row r="23">
      <c r="E23" s="18" t="s">
        <v>134</v>
      </c>
      <c r="F23" s="143">
        <v>10.0</v>
      </c>
      <c r="H23" s="142"/>
      <c r="I23" s="26" t="s">
        <v>205</v>
      </c>
      <c r="J23" s="77">
        <v>107.91</v>
      </c>
      <c r="K23" s="169" t="s">
        <v>289</v>
      </c>
      <c r="L23" s="74" t="s">
        <v>116</v>
      </c>
      <c r="M23" s="7"/>
      <c r="N23" s="7"/>
    </row>
    <row r="24">
      <c r="E24" s="26" t="s">
        <v>137</v>
      </c>
      <c r="F24" s="144">
        <v>149.9</v>
      </c>
      <c r="H24" s="142"/>
      <c r="I24" s="32" t="s">
        <v>250</v>
      </c>
      <c r="J24" s="76">
        <v>258.57</v>
      </c>
      <c r="K24" s="170" t="s">
        <v>251</v>
      </c>
      <c r="L24" s="75" t="s">
        <v>116</v>
      </c>
      <c r="M24" s="7"/>
      <c r="N24" s="7"/>
    </row>
    <row r="25">
      <c r="E25" s="32" t="s">
        <v>138</v>
      </c>
      <c r="F25" s="145">
        <v>59.9</v>
      </c>
      <c r="H25" s="142"/>
      <c r="I25" s="63" t="s">
        <v>21</v>
      </c>
      <c r="J25" s="139">
        <f>SUM(J4:J24)</f>
        <v>6067</v>
      </c>
      <c r="K25" s="2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5:K25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5300.0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3000.0</v>
      </c>
      <c r="G4" s="7"/>
      <c r="H4" s="4"/>
      <c r="I4" s="176" t="s">
        <v>249</v>
      </c>
      <c r="J4" s="136">
        <v>783.34</v>
      </c>
      <c r="K4" s="163" t="s">
        <v>239</v>
      </c>
      <c r="L4" s="94" t="s">
        <v>146</v>
      </c>
      <c r="M4" s="4"/>
      <c r="N4" s="28">
        <f>B19</f>
        <v>6389.03</v>
      </c>
      <c r="O4" s="9"/>
      <c r="P4" s="7"/>
      <c r="Q4" s="29">
        <v>0.0</v>
      </c>
    </row>
    <row r="5">
      <c r="A5" s="13" t="s">
        <v>6</v>
      </c>
      <c r="B5" s="115">
        <v>159.79</v>
      </c>
      <c r="C5" s="15"/>
      <c r="D5" s="4"/>
      <c r="E5" s="30"/>
      <c r="F5" s="31"/>
      <c r="G5" s="7"/>
      <c r="H5" s="4"/>
      <c r="I5" s="82" t="s">
        <v>274</v>
      </c>
      <c r="J5" s="120">
        <v>711.2</v>
      </c>
      <c r="K5" s="121" t="s">
        <v>286</v>
      </c>
      <c r="L5" s="83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80" t="s">
        <v>275</v>
      </c>
      <c r="J6" s="124">
        <v>483.89</v>
      </c>
      <c r="K6" s="125" t="s">
        <v>291</v>
      </c>
      <c r="L6" s="81" t="s">
        <v>127</v>
      </c>
      <c r="M6" s="67"/>
      <c r="N6" s="28">
        <f>F18</f>
        <v>8300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82" t="s">
        <v>116</v>
      </c>
      <c r="J7" s="120">
        <v>69.25</v>
      </c>
      <c r="K7" s="121" t="s">
        <v>292</v>
      </c>
      <c r="L7" s="177" t="s">
        <v>141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80" t="s">
        <v>236</v>
      </c>
      <c r="J8" s="124">
        <v>16.68</v>
      </c>
      <c r="K8" s="125" t="s">
        <v>293</v>
      </c>
      <c r="L8" s="168" t="s">
        <v>141</v>
      </c>
      <c r="M8" s="7"/>
      <c r="N8" s="42">
        <f>Julho26!Q4</f>
        <v>0</v>
      </c>
      <c r="P8" s="7"/>
      <c r="Q8" s="7"/>
      <c r="R8" s="7"/>
    </row>
    <row r="9">
      <c r="A9" s="43" t="s">
        <v>228</v>
      </c>
      <c r="B9" s="122">
        <v>110.71</v>
      </c>
      <c r="C9" s="15"/>
      <c r="D9" s="4"/>
      <c r="E9" s="39"/>
      <c r="F9" s="44"/>
      <c r="G9" s="7"/>
      <c r="H9" s="4"/>
      <c r="I9" s="82" t="s">
        <v>279</v>
      </c>
      <c r="J9" s="120">
        <v>118.66</v>
      </c>
      <c r="K9" s="121" t="s">
        <v>239</v>
      </c>
      <c r="L9" s="86" t="s">
        <v>141</v>
      </c>
      <c r="M9" s="7"/>
      <c r="N9" s="12" t="s">
        <v>19</v>
      </c>
      <c r="O9" s="9"/>
      <c r="P9" s="7"/>
      <c r="Q9" s="7"/>
      <c r="R9" s="7"/>
    </row>
    <row r="10">
      <c r="A10" s="41" t="s">
        <v>17</v>
      </c>
      <c r="B10" s="118">
        <v>250.0</v>
      </c>
      <c r="C10" s="46"/>
      <c r="D10" s="4"/>
      <c r="E10" s="35"/>
      <c r="F10" s="45"/>
      <c r="G10" s="7"/>
      <c r="H10" s="4"/>
      <c r="I10" s="32" t="s">
        <v>187</v>
      </c>
      <c r="J10" s="33">
        <v>543.73</v>
      </c>
      <c r="K10" s="170" t="s">
        <v>294</v>
      </c>
      <c r="L10" s="75" t="s">
        <v>116</v>
      </c>
      <c r="M10" s="7"/>
      <c r="N10" s="87">
        <v>0.0</v>
      </c>
      <c r="P10" s="7"/>
      <c r="Q10" s="7"/>
      <c r="R10" s="7"/>
    </row>
    <row r="11">
      <c r="A11" s="47" t="s">
        <v>123</v>
      </c>
      <c r="B11" s="115">
        <v>900.0</v>
      </c>
      <c r="C11" s="49"/>
      <c r="D11" s="4"/>
      <c r="E11" s="4"/>
      <c r="F11" s="48"/>
      <c r="G11" s="7"/>
      <c r="H11" s="4"/>
      <c r="I11" s="26" t="s">
        <v>283</v>
      </c>
      <c r="J11" s="27">
        <v>14.25</v>
      </c>
      <c r="K11" s="169" t="s">
        <v>244</v>
      </c>
      <c r="L11" s="74" t="s">
        <v>116</v>
      </c>
      <c r="M11" s="7"/>
      <c r="N11" s="7"/>
      <c r="O11" s="7"/>
      <c r="P11" s="7"/>
      <c r="Q11" s="7"/>
      <c r="R11" s="7"/>
    </row>
    <row r="12">
      <c r="A12" s="41" t="s">
        <v>127</v>
      </c>
      <c r="B12" s="154">
        <v>1978.53</v>
      </c>
      <c r="C12" s="46"/>
      <c r="D12" s="4"/>
      <c r="E12" s="35"/>
      <c r="F12" s="45"/>
      <c r="G12" s="7"/>
      <c r="H12" s="4"/>
      <c r="I12" s="32" t="s">
        <v>285</v>
      </c>
      <c r="J12" s="76">
        <v>146.27</v>
      </c>
      <c r="K12" s="170" t="s">
        <v>295</v>
      </c>
      <c r="L12" s="75" t="s">
        <v>116</v>
      </c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26" t="s">
        <v>287</v>
      </c>
      <c r="J13" s="77">
        <v>111.2</v>
      </c>
      <c r="K13" s="169" t="s">
        <v>295</v>
      </c>
      <c r="L13" s="74" t="s">
        <v>116</v>
      </c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 t="s">
        <v>288</v>
      </c>
      <c r="J14" s="76">
        <v>138.22</v>
      </c>
      <c r="K14" s="170" t="s">
        <v>295</v>
      </c>
      <c r="L14" s="75" t="s">
        <v>116</v>
      </c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 t="s">
        <v>268</v>
      </c>
      <c r="J15" s="77">
        <v>100.19</v>
      </c>
      <c r="K15" s="169" t="s">
        <v>293</v>
      </c>
      <c r="L15" s="74" t="s">
        <v>116</v>
      </c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 t="s">
        <v>220</v>
      </c>
      <c r="J16" s="76">
        <v>42.15</v>
      </c>
      <c r="K16" s="170" t="s">
        <v>289</v>
      </c>
      <c r="L16" s="75" t="s">
        <v>116</v>
      </c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 t="s">
        <v>250</v>
      </c>
      <c r="J17" s="77">
        <v>258.57</v>
      </c>
      <c r="K17" s="169" t="s">
        <v>241</v>
      </c>
      <c r="L17" s="74" t="s">
        <v>116</v>
      </c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8300</v>
      </c>
      <c r="G18" s="7"/>
      <c r="H18" s="7"/>
      <c r="I18" s="32"/>
      <c r="J18" s="76"/>
      <c r="K18" s="170"/>
      <c r="L18" s="75"/>
      <c r="M18" s="7"/>
      <c r="N18" s="7"/>
      <c r="O18" s="7"/>
    </row>
    <row r="19">
      <c r="A19" s="63" t="s">
        <v>21</v>
      </c>
      <c r="B19" s="95">
        <f>SUM(B3:B18)</f>
        <v>6389.03</v>
      </c>
      <c r="C19" s="7"/>
      <c r="D19" s="7"/>
      <c r="E19" s="7"/>
      <c r="F19" s="7"/>
      <c r="G19" s="7"/>
      <c r="H19" s="7"/>
      <c r="I19" s="26"/>
      <c r="J19" s="77"/>
      <c r="K19" s="169"/>
      <c r="L19" s="74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32"/>
      <c r="J20" s="76"/>
      <c r="K20" s="170"/>
      <c r="L20" s="75"/>
      <c r="M20" s="7"/>
      <c r="N20" s="7"/>
      <c r="O20" s="7"/>
    </row>
    <row r="21">
      <c r="E21" s="70" t="s">
        <v>22</v>
      </c>
      <c r="F21" s="2"/>
      <c r="H21" s="7"/>
      <c r="I21" s="26"/>
      <c r="J21" s="77"/>
      <c r="K21" s="169"/>
      <c r="L21" s="74"/>
      <c r="M21" s="7"/>
      <c r="N21" s="7"/>
    </row>
    <row r="22">
      <c r="E22" s="11" t="s">
        <v>23</v>
      </c>
      <c r="F22" s="2"/>
      <c r="H22" s="7"/>
      <c r="I22" s="18"/>
      <c r="J22" s="178"/>
      <c r="K22" s="179"/>
      <c r="L22" s="72"/>
      <c r="M22" s="7"/>
      <c r="N22" s="7"/>
    </row>
    <row r="23">
      <c r="E23" s="18" t="s">
        <v>134</v>
      </c>
      <c r="F23" s="143">
        <v>10.0</v>
      </c>
      <c r="H23" s="142"/>
      <c r="I23" s="26"/>
      <c r="J23" s="77"/>
      <c r="K23" s="169"/>
      <c r="L23" s="74"/>
      <c r="M23" s="7"/>
      <c r="N23" s="7"/>
    </row>
    <row r="24">
      <c r="E24" s="26" t="s">
        <v>137</v>
      </c>
      <c r="F24" s="144">
        <v>149.9</v>
      </c>
      <c r="H24" s="142"/>
      <c r="I24" s="32"/>
      <c r="J24" s="76"/>
      <c r="K24" s="170"/>
      <c r="L24" s="75"/>
      <c r="M24" s="7"/>
      <c r="N24" s="7"/>
    </row>
    <row r="25">
      <c r="E25" s="32" t="s">
        <v>138</v>
      </c>
      <c r="F25" s="145">
        <v>59.9</v>
      </c>
      <c r="H25" s="142"/>
      <c r="I25" s="63" t="s">
        <v>21</v>
      </c>
      <c r="J25" s="139">
        <f>SUM(J4:J24)</f>
        <v>3537.6</v>
      </c>
      <c r="K25" s="2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5:K25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5300.0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3000.0</v>
      </c>
      <c r="G4" s="7"/>
      <c r="H4" s="4"/>
      <c r="I4" s="82" t="s">
        <v>274</v>
      </c>
      <c r="J4" s="120">
        <v>711.2</v>
      </c>
      <c r="K4" s="121" t="s">
        <v>295</v>
      </c>
      <c r="L4" s="83" t="s">
        <v>127</v>
      </c>
      <c r="M4" s="4"/>
      <c r="N4" s="28">
        <f>B19</f>
        <v>5005.7</v>
      </c>
      <c r="O4" s="9"/>
      <c r="P4" s="7"/>
      <c r="Q4" s="85">
        <f>N6-N4+N8+N10</f>
        <v>3294.3</v>
      </c>
    </row>
    <row r="5">
      <c r="A5" s="13" t="s">
        <v>6</v>
      </c>
      <c r="B5" s="115">
        <v>159.79</v>
      </c>
      <c r="C5" s="15"/>
      <c r="D5" s="4"/>
      <c r="E5" s="30"/>
      <c r="F5" s="31"/>
      <c r="G5" s="7"/>
      <c r="H5" s="4"/>
      <c r="I5" s="80" t="s">
        <v>275</v>
      </c>
      <c r="J5" s="124">
        <v>483.89</v>
      </c>
      <c r="K5" s="125" t="s">
        <v>296</v>
      </c>
      <c r="L5" s="81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82" t="s">
        <v>116</v>
      </c>
      <c r="J6" s="120">
        <v>69.25</v>
      </c>
      <c r="K6" s="121" t="s">
        <v>297</v>
      </c>
      <c r="L6" s="177" t="s">
        <v>141</v>
      </c>
      <c r="M6" s="67"/>
      <c r="N6" s="28">
        <f>F18</f>
        <v>8300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32" t="s">
        <v>236</v>
      </c>
      <c r="J7" s="33">
        <v>16.68</v>
      </c>
      <c r="K7" s="170" t="s">
        <v>298</v>
      </c>
      <c r="L7" s="188" t="s">
        <v>141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26" t="s">
        <v>187</v>
      </c>
      <c r="J8" s="27">
        <v>543.73</v>
      </c>
      <c r="K8" s="169" t="s">
        <v>299</v>
      </c>
      <c r="L8" s="74" t="s">
        <v>116</v>
      </c>
      <c r="M8" s="7"/>
      <c r="N8" s="42">
        <f>Agosto26!Q4</f>
        <v>0</v>
      </c>
      <c r="P8" s="7"/>
      <c r="Q8" s="7"/>
      <c r="R8" s="7"/>
    </row>
    <row r="9">
      <c r="A9" s="43" t="s">
        <v>228</v>
      </c>
      <c r="B9" s="122">
        <v>110.71</v>
      </c>
      <c r="C9" s="15"/>
      <c r="D9" s="4"/>
      <c r="E9" s="39"/>
      <c r="F9" s="44"/>
      <c r="G9" s="7"/>
      <c r="H9" s="4"/>
      <c r="I9" s="32" t="s">
        <v>283</v>
      </c>
      <c r="J9" s="76">
        <v>14.25</v>
      </c>
      <c r="K9" s="170" t="s">
        <v>258</v>
      </c>
      <c r="L9" s="75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17</v>
      </c>
      <c r="B10" s="118">
        <v>0.0</v>
      </c>
      <c r="C10" s="46"/>
      <c r="D10" s="4"/>
      <c r="E10" s="35"/>
      <c r="F10" s="45"/>
      <c r="G10" s="7"/>
      <c r="H10" s="4"/>
      <c r="I10" s="26" t="s">
        <v>285</v>
      </c>
      <c r="J10" s="77">
        <v>146.27</v>
      </c>
      <c r="K10" s="169" t="s">
        <v>300</v>
      </c>
      <c r="L10" s="74" t="s">
        <v>116</v>
      </c>
      <c r="M10" s="7"/>
      <c r="N10" s="87">
        <v>0.0</v>
      </c>
      <c r="P10" s="7"/>
      <c r="Q10" s="7"/>
      <c r="R10" s="7"/>
    </row>
    <row r="11">
      <c r="A11" s="47" t="s">
        <v>123</v>
      </c>
      <c r="B11" s="115">
        <v>550.0</v>
      </c>
      <c r="C11" s="49"/>
      <c r="D11" s="4"/>
      <c r="E11" s="4"/>
      <c r="F11" s="48"/>
      <c r="G11" s="7"/>
      <c r="H11" s="4"/>
      <c r="I11" s="32" t="s">
        <v>287</v>
      </c>
      <c r="J11" s="76">
        <v>111.2</v>
      </c>
      <c r="K11" s="170" t="s">
        <v>300</v>
      </c>
      <c r="L11" s="75" t="s">
        <v>116</v>
      </c>
      <c r="M11" s="7"/>
      <c r="N11" s="7"/>
      <c r="O11" s="7"/>
      <c r="P11" s="7"/>
      <c r="Q11" s="7"/>
      <c r="R11" s="7"/>
    </row>
    <row r="12">
      <c r="A12" s="41" t="s">
        <v>127</v>
      </c>
      <c r="B12" s="154">
        <v>1195.2</v>
      </c>
      <c r="C12" s="46"/>
      <c r="D12" s="4"/>
      <c r="E12" s="35"/>
      <c r="F12" s="45"/>
      <c r="G12" s="7"/>
      <c r="H12" s="4"/>
      <c r="I12" s="26" t="s">
        <v>288</v>
      </c>
      <c r="J12" s="77">
        <v>138.22</v>
      </c>
      <c r="K12" s="169" t="s">
        <v>300</v>
      </c>
      <c r="L12" s="74" t="s">
        <v>116</v>
      </c>
      <c r="M12" s="7"/>
      <c r="N12" s="7"/>
      <c r="O12" s="7"/>
      <c r="P12" s="7"/>
      <c r="Q12" s="7"/>
      <c r="R12" s="7"/>
    </row>
    <row r="13">
      <c r="A13" s="47"/>
      <c r="B13" s="156"/>
      <c r="C13" s="53"/>
      <c r="D13" s="4"/>
      <c r="E13" s="4"/>
      <c r="F13" s="48"/>
      <c r="G13" s="7"/>
      <c r="H13" s="4"/>
      <c r="I13" s="32" t="s">
        <v>268</v>
      </c>
      <c r="J13" s="76">
        <v>100.19</v>
      </c>
      <c r="K13" s="170" t="s">
        <v>298</v>
      </c>
      <c r="L13" s="75" t="s">
        <v>116</v>
      </c>
      <c r="M13" s="7"/>
      <c r="N13" s="7"/>
      <c r="O13" s="7"/>
      <c r="P13" s="7"/>
      <c r="Q13" s="7"/>
      <c r="R13" s="7"/>
    </row>
    <row r="14">
      <c r="A14" s="41"/>
      <c r="B14" s="154"/>
      <c r="C14" s="46"/>
      <c r="D14" s="4"/>
      <c r="E14" s="35"/>
      <c r="F14" s="45"/>
      <c r="G14" s="7"/>
      <c r="H14" s="4"/>
      <c r="I14" s="26"/>
      <c r="J14" s="77"/>
      <c r="K14" s="169"/>
      <c r="L14" s="74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32"/>
      <c r="J15" s="76"/>
      <c r="K15" s="170"/>
      <c r="L15" s="75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26"/>
      <c r="J16" s="77"/>
      <c r="K16" s="169"/>
      <c r="L16" s="74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32"/>
      <c r="J17" s="76"/>
      <c r="K17" s="170"/>
      <c r="L17" s="75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8300</v>
      </c>
      <c r="G18" s="7"/>
      <c r="H18" s="7"/>
      <c r="I18" s="26"/>
      <c r="J18" s="77"/>
      <c r="K18" s="169"/>
      <c r="L18" s="74"/>
      <c r="M18" s="7"/>
      <c r="N18" s="7"/>
      <c r="O18" s="7"/>
    </row>
    <row r="19">
      <c r="A19" s="63" t="s">
        <v>21</v>
      </c>
      <c r="B19" s="95">
        <f>SUM(B3:B18)</f>
        <v>5005.7</v>
      </c>
      <c r="C19" s="7"/>
      <c r="D19" s="7"/>
      <c r="E19" s="7"/>
      <c r="F19" s="7"/>
      <c r="G19" s="7"/>
      <c r="H19" s="7"/>
      <c r="I19" s="32"/>
      <c r="J19" s="76"/>
      <c r="K19" s="170"/>
      <c r="L19" s="75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26"/>
      <c r="J20" s="77"/>
      <c r="K20" s="169"/>
      <c r="L20" s="74"/>
      <c r="M20" s="7"/>
      <c r="N20" s="7"/>
      <c r="O20" s="7"/>
    </row>
    <row r="21">
      <c r="E21" s="70" t="s">
        <v>22</v>
      </c>
      <c r="F21" s="2"/>
      <c r="H21" s="7"/>
      <c r="I21" s="32"/>
      <c r="J21" s="76"/>
      <c r="K21" s="170"/>
      <c r="L21" s="75"/>
      <c r="M21" s="7"/>
      <c r="N21" s="7"/>
    </row>
    <row r="22">
      <c r="E22" s="11" t="s">
        <v>23</v>
      </c>
      <c r="F22" s="2"/>
      <c r="H22" s="7"/>
      <c r="I22" s="26"/>
      <c r="J22" s="77"/>
      <c r="K22" s="169"/>
      <c r="L22" s="74"/>
      <c r="M22" s="7"/>
      <c r="N22" s="7"/>
    </row>
    <row r="23">
      <c r="E23" s="18" t="s">
        <v>134</v>
      </c>
      <c r="F23" s="143">
        <v>10.0</v>
      </c>
      <c r="H23" s="142"/>
      <c r="I23" s="63" t="s">
        <v>21</v>
      </c>
      <c r="J23" s="139">
        <f>SUM(J4:J22)</f>
        <v>2334.88</v>
      </c>
      <c r="K23" s="2"/>
      <c r="L23" s="180"/>
      <c r="M23" s="7"/>
      <c r="N23" s="7"/>
    </row>
    <row r="24">
      <c r="E24" s="26" t="s">
        <v>137</v>
      </c>
      <c r="F24" s="144">
        <v>149.9</v>
      </c>
      <c r="H24" s="142"/>
      <c r="I24" s="7"/>
      <c r="J24" s="104"/>
      <c r="K24" s="7"/>
      <c r="L24" s="7"/>
      <c r="M24" s="7"/>
      <c r="N24" s="7"/>
    </row>
    <row r="25">
      <c r="E25" s="32" t="s">
        <v>138</v>
      </c>
      <c r="F25" s="145">
        <v>59.9</v>
      </c>
      <c r="H25" s="142"/>
      <c r="I25" s="7"/>
      <c r="J25" s="7"/>
      <c r="K25" s="7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3:K23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5300.0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3136.84</v>
      </c>
      <c r="G4" s="7"/>
      <c r="H4" s="4"/>
      <c r="I4" s="102" t="s">
        <v>274</v>
      </c>
      <c r="J4" s="158">
        <v>711.2</v>
      </c>
      <c r="K4" s="163" t="s">
        <v>301</v>
      </c>
      <c r="L4" s="103" t="s">
        <v>127</v>
      </c>
      <c r="M4" s="4"/>
      <c r="N4" s="28">
        <f>B19</f>
        <v>4955.7</v>
      </c>
      <c r="O4" s="9"/>
      <c r="P4" s="7"/>
      <c r="Q4" s="85">
        <f>N6-N4+N8+N10</f>
        <v>6775.44</v>
      </c>
    </row>
    <row r="5">
      <c r="A5" s="13" t="s">
        <v>6</v>
      </c>
      <c r="B5" s="115">
        <v>159.79</v>
      </c>
      <c r="C5" s="15"/>
      <c r="D5" s="4"/>
      <c r="E5" s="30"/>
      <c r="F5" s="31"/>
      <c r="G5" s="7"/>
      <c r="H5" s="4"/>
      <c r="I5" s="82" t="s">
        <v>275</v>
      </c>
      <c r="J5" s="120">
        <v>483.89</v>
      </c>
      <c r="K5" s="121" t="s">
        <v>302</v>
      </c>
      <c r="L5" s="83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32" t="s">
        <v>116</v>
      </c>
      <c r="J6" s="33">
        <v>69.25</v>
      </c>
      <c r="K6" s="170" t="s">
        <v>303</v>
      </c>
      <c r="L6" s="188" t="s">
        <v>141</v>
      </c>
      <c r="M6" s="67"/>
      <c r="N6" s="28">
        <f>F18</f>
        <v>8436.84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26" t="s">
        <v>236</v>
      </c>
      <c r="J7" s="27">
        <v>16.68</v>
      </c>
      <c r="K7" s="169" t="s">
        <v>304</v>
      </c>
      <c r="L7" s="189" t="s">
        <v>141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32" t="s">
        <v>187</v>
      </c>
      <c r="J8" s="76">
        <v>543.73</v>
      </c>
      <c r="K8" s="170" t="s">
        <v>305</v>
      </c>
      <c r="L8" s="75" t="s">
        <v>116</v>
      </c>
      <c r="M8" s="7"/>
      <c r="N8" s="42">
        <f>Setembro26!Q4</f>
        <v>3294.3</v>
      </c>
      <c r="P8" s="7"/>
      <c r="Q8" s="7"/>
      <c r="R8" s="7"/>
    </row>
    <row r="9">
      <c r="A9" s="43" t="s">
        <v>228</v>
      </c>
      <c r="B9" s="122">
        <v>110.71</v>
      </c>
      <c r="C9" s="15"/>
      <c r="D9" s="4"/>
      <c r="E9" s="39"/>
      <c r="F9" s="44"/>
      <c r="G9" s="7"/>
      <c r="H9" s="4"/>
      <c r="I9" s="26" t="s">
        <v>285</v>
      </c>
      <c r="J9" s="27">
        <v>146.27</v>
      </c>
      <c r="K9" s="169" t="s">
        <v>301</v>
      </c>
      <c r="L9" s="74" t="s">
        <v>116</v>
      </c>
      <c r="M9" s="7"/>
      <c r="N9" s="12" t="s">
        <v>19</v>
      </c>
      <c r="O9" s="9"/>
      <c r="P9" s="7"/>
      <c r="Q9" s="7"/>
      <c r="R9" s="7"/>
    </row>
    <row r="10">
      <c r="A10" s="41" t="s">
        <v>17</v>
      </c>
      <c r="B10" s="118">
        <v>0.0</v>
      </c>
      <c r="C10" s="46"/>
      <c r="D10" s="4"/>
      <c r="E10" s="35"/>
      <c r="F10" s="45"/>
      <c r="G10" s="7"/>
      <c r="H10" s="4"/>
      <c r="I10" s="32" t="s">
        <v>287</v>
      </c>
      <c r="J10" s="33">
        <v>111.2</v>
      </c>
      <c r="K10" s="170" t="s">
        <v>301</v>
      </c>
      <c r="L10" s="75" t="s">
        <v>116</v>
      </c>
      <c r="M10" s="7"/>
      <c r="N10" s="87">
        <v>0.0</v>
      </c>
      <c r="P10" s="7"/>
      <c r="Q10" s="7"/>
      <c r="R10" s="7"/>
    </row>
    <row r="11">
      <c r="A11" s="47" t="s">
        <v>123</v>
      </c>
      <c r="B11" s="115">
        <v>500.0</v>
      </c>
      <c r="C11" s="49"/>
      <c r="D11" s="4"/>
      <c r="E11" s="4"/>
      <c r="F11" s="48"/>
      <c r="G11" s="7"/>
      <c r="H11" s="4"/>
      <c r="I11" s="26" t="s">
        <v>288</v>
      </c>
      <c r="J11" s="27">
        <v>138.22</v>
      </c>
      <c r="K11" s="169" t="s">
        <v>301</v>
      </c>
      <c r="L11" s="74" t="s">
        <v>116</v>
      </c>
      <c r="M11" s="7"/>
      <c r="N11" s="7"/>
      <c r="O11" s="7"/>
      <c r="P11" s="7"/>
      <c r="Q11" s="7"/>
      <c r="R11" s="7"/>
    </row>
    <row r="12">
      <c r="A12" s="41" t="s">
        <v>127</v>
      </c>
      <c r="B12" s="154">
        <v>1195.2</v>
      </c>
      <c r="C12" s="46"/>
      <c r="D12" s="4"/>
      <c r="E12" s="35"/>
      <c r="F12" s="45"/>
      <c r="G12" s="7"/>
      <c r="H12" s="4"/>
      <c r="I12" s="32" t="s">
        <v>268</v>
      </c>
      <c r="J12" s="76">
        <v>100.19</v>
      </c>
      <c r="K12" s="170" t="s">
        <v>304</v>
      </c>
      <c r="L12" s="75" t="s">
        <v>116</v>
      </c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26"/>
      <c r="J13" s="77"/>
      <c r="K13" s="169"/>
      <c r="L13" s="74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/>
      <c r="J14" s="76"/>
      <c r="K14" s="170"/>
      <c r="L14" s="75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/>
      <c r="J15" s="77"/>
      <c r="K15" s="169"/>
      <c r="L15" s="74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/>
      <c r="J16" s="76"/>
      <c r="K16" s="170"/>
      <c r="L16" s="75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/>
      <c r="J17" s="77"/>
      <c r="K17" s="169"/>
      <c r="L17" s="74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8436.84</v>
      </c>
      <c r="G18" s="7"/>
      <c r="H18" s="7"/>
      <c r="I18" s="54"/>
      <c r="J18" s="171"/>
      <c r="K18" s="172"/>
      <c r="L18" s="99"/>
      <c r="M18" s="7"/>
      <c r="N18" s="7"/>
      <c r="O18" s="7"/>
    </row>
    <row r="19">
      <c r="A19" s="63" t="s">
        <v>21</v>
      </c>
      <c r="B19" s="95">
        <f>SUM(B3:B18)</f>
        <v>4955.7</v>
      </c>
      <c r="C19" s="7"/>
      <c r="D19" s="7"/>
      <c r="E19" s="7"/>
      <c r="F19" s="7"/>
      <c r="G19" s="7"/>
      <c r="H19" s="7"/>
      <c r="I19" s="57"/>
      <c r="J19" s="173"/>
      <c r="K19" s="174"/>
      <c r="L19" s="98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54"/>
      <c r="J20" s="171"/>
      <c r="K20" s="172"/>
      <c r="L20" s="99"/>
      <c r="M20" s="7"/>
      <c r="N20" s="7"/>
      <c r="O20" s="7"/>
    </row>
    <row r="21">
      <c r="E21" s="70" t="s">
        <v>22</v>
      </c>
      <c r="F21" s="2"/>
      <c r="H21" s="7"/>
      <c r="I21" s="57"/>
      <c r="J21" s="173"/>
      <c r="K21" s="174"/>
      <c r="L21" s="98"/>
      <c r="M21" s="7"/>
      <c r="N21" s="7"/>
    </row>
    <row r="22">
      <c r="E22" s="11" t="s">
        <v>23</v>
      </c>
      <c r="F22" s="2"/>
      <c r="H22" s="7"/>
      <c r="I22" s="63" t="s">
        <v>21</v>
      </c>
      <c r="J22" s="139">
        <f>SUM(J4:J21)</f>
        <v>2320.63</v>
      </c>
      <c r="K22" s="2"/>
      <c r="L22" s="187"/>
      <c r="M22" s="7"/>
      <c r="N22" s="7"/>
    </row>
    <row r="23">
      <c r="E23" s="18" t="s">
        <v>134</v>
      </c>
      <c r="F23" s="143">
        <v>10.0</v>
      </c>
      <c r="H23" s="142"/>
      <c r="I23" s="162"/>
      <c r="J23" s="191"/>
      <c r="K23" s="192"/>
      <c r="L23" s="191"/>
      <c r="M23" s="7"/>
      <c r="N23" s="7"/>
    </row>
    <row r="24">
      <c r="E24" s="26" t="s">
        <v>137</v>
      </c>
      <c r="F24" s="144">
        <v>149.9</v>
      </c>
      <c r="H24" s="142"/>
      <c r="I24" s="7"/>
      <c r="J24" s="104"/>
      <c r="K24" s="7"/>
      <c r="L24" s="7"/>
      <c r="M24" s="7"/>
      <c r="N24" s="7"/>
    </row>
    <row r="25">
      <c r="E25" s="32" t="s">
        <v>138</v>
      </c>
      <c r="F25" s="145">
        <v>59.9</v>
      </c>
      <c r="H25" s="142"/>
      <c r="I25" s="7"/>
      <c r="J25" s="7"/>
      <c r="K25" s="7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2:K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3000.0</v>
      </c>
      <c r="G4" s="7"/>
      <c r="H4" s="4"/>
      <c r="I4" s="102" t="s">
        <v>275</v>
      </c>
      <c r="J4" s="158">
        <v>483.89</v>
      </c>
      <c r="K4" s="163" t="s">
        <v>306</v>
      </c>
      <c r="L4" s="103" t="s">
        <v>127</v>
      </c>
      <c r="M4" s="4"/>
      <c r="N4" s="28">
        <f>B19</f>
        <v>4644.99</v>
      </c>
      <c r="O4" s="9"/>
      <c r="P4" s="7"/>
      <c r="Q4" s="85">
        <f>N6-N4+N8+N10</f>
        <v>9630.45</v>
      </c>
    </row>
    <row r="5">
      <c r="A5" s="13" t="s">
        <v>6</v>
      </c>
      <c r="B5" s="115">
        <v>159.79</v>
      </c>
      <c r="C5" s="15"/>
      <c r="D5" s="4"/>
      <c r="E5" s="30"/>
      <c r="F5" s="31"/>
      <c r="G5" s="7"/>
      <c r="H5" s="4"/>
      <c r="I5" s="82" t="s">
        <v>116</v>
      </c>
      <c r="J5" s="120">
        <v>69.25</v>
      </c>
      <c r="K5" s="121" t="s">
        <v>307</v>
      </c>
      <c r="L5" s="177" t="s">
        <v>141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32" t="s">
        <v>236</v>
      </c>
      <c r="J6" s="33">
        <v>16.68</v>
      </c>
      <c r="K6" s="170" t="s">
        <v>264</v>
      </c>
      <c r="L6" s="188" t="s">
        <v>141</v>
      </c>
      <c r="M6" s="67"/>
      <c r="N6" s="28">
        <f>F18</f>
        <v>7500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26" t="s">
        <v>187</v>
      </c>
      <c r="J7" s="27">
        <v>543.73</v>
      </c>
      <c r="K7" s="169" t="s">
        <v>308</v>
      </c>
      <c r="L7" s="74" t="s">
        <v>116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32" t="s">
        <v>268</v>
      </c>
      <c r="J8" s="76">
        <v>100.19</v>
      </c>
      <c r="K8" s="170" t="s">
        <v>264</v>
      </c>
      <c r="L8" s="75" t="s">
        <v>116</v>
      </c>
      <c r="M8" s="7"/>
      <c r="N8" s="42">
        <f>Outubro26!Q4</f>
        <v>6775.44</v>
      </c>
      <c r="P8" s="7"/>
      <c r="Q8" s="7"/>
      <c r="R8" s="7"/>
    </row>
    <row r="9">
      <c r="A9" s="43" t="s">
        <v>17</v>
      </c>
      <c r="B9" s="122">
        <v>0.0</v>
      </c>
      <c r="C9" s="15"/>
      <c r="D9" s="4"/>
      <c r="E9" s="39"/>
      <c r="F9" s="44"/>
      <c r="G9" s="7"/>
      <c r="H9" s="4"/>
      <c r="I9" s="26"/>
      <c r="J9" s="27"/>
      <c r="K9" s="169"/>
      <c r="L9" s="74"/>
      <c r="M9" s="7"/>
      <c r="N9" s="12" t="s">
        <v>19</v>
      </c>
      <c r="O9" s="9"/>
      <c r="P9" s="7"/>
      <c r="Q9" s="7"/>
      <c r="R9" s="7"/>
    </row>
    <row r="10">
      <c r="A10" s="41" t="s">
        <v>123</v>
      </c>
      <c r="B10" s="118">
        <v>300.0</v>
      </c>
      <c r="C10" s="46"/>
      <c r="D10" s="4"/>
      <c r="E10" s="35"/>
      <c r="F10" s="45"/>
      <c r="G10" s="7"/>
      <c r="H10" s="4"/>
      <c r="I10" s="32"/>
      <c r="J10" s="33"/>
      <c r="K10" s="170"/>
      <c r="L10" s="75"/>
      <c r="M10" s="7"/>
      <c r="N10" s="87">
        <v>0.0</v>
      </c>
      <c r="P10" s="7"/>
      <c r="Q10" s="7"/>
      <c r="R10" s="7"/>
    </row>
    <row r="11">
      <c r="A11" s="47" t="s">
        <v>127</v>
      </c>
      <c r="B11" s="115">
        <v>1195.2</v>
      </c>
      <c r="C11" s="49"/>
      <c r="D11" s="4"/>
      <c r="E11" s="4"/>
      <c r="F11" s="48"/>
      <c r="G11" s="7"/>
      <c r="H11" s="4"/>
      <c r="I11" s="26"/>
      <c r="J11" s="27"/>
      <c r="K11" s="169"/>
      <c r="L11" s="74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32"/>
      <c r="J12" s="76"/>
      <c r="K12" s="170"/>
      <c r="L12" s="75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26"/>
      <c r="J13" s="77"/>
      <c r="K13" s="169"/>
      <c r="L13" s="74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/>
      <c r="J14" s="76"/>
      <c r="K14" s="170"/>
      <c r="L14" s="75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/>
      <c r="J15" s="77"/>
      <c r="K15" s="169"/>
      <c r="L15" s="74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/>
      <c r="J16" s="76"/>
      <c r="K16" s="170"/>
      <c r="L16" s="75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/>
      <c r="J17" s="77"/>
      <c r="K17" s="169"/>
      <c r="L17" s="74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7500</v>
      </c>
      <c r="G18" s="7"/>
      <c r="H18" s="7"/>
      <c r="I18" s="54"/>
      <c r="J18" s="171"/>
      <c r="K18" s="172"/>
      <c r="L18" s="99"/>
      <c r="M18" s="7"/>
      <c r="N18" s="7"/>
      <c r="O18" s="7"/>
    </row>
    <row r="19">
      <c r="A19" s="63" t="s">
        <v>21</v>
      </c>
      <c r="B19" s="95">
        <f>SUM(B3:B18)</f>
        <v>4644.99</v>
      </c>
      <c r="C19" s="7"/>
      <c r="D19" s="7"/>
      <c r="E19" s="7"/>
      <c r="F19" s="7"/>
      <c r="G19" s="7"/>
      <c r="H19" s="7"/>
      <c r="I19" s="57"/>
      <c r="J19" s="173"/>
      <c r="K19" s="174"/>
      <c r="L19" s="98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54"/>
      <c r="J20" s="171"/>
      <c r="K20" s="172"/>
      <c r="L20" s="99"/>
      <c r="M20" s="7"/>
      <c r="N20" s="7"/>
      <c r="O20" s="7"/>
    </row>
    <row r="21">
      <c r="E21" s="70" t="s">
        <v>22</v>
      </c>
      <c r="F21" s="2"/>
      <c r="H21" s="7"/>
      <c r="I21" s="57"/>
      <c r="J21" s="173"/>
      <c r="K21" s="174"/>
      <c r="L21" s="98"/>
      <c r="M21" s="7"/>
      <c r="N21" s="7"/>
    </row>
    <row r="22">
      <c r="E22" s="11" t="s">
        <v>23</v>
      </c>
      <c r="F22" s="2"/>
      <c r="H22" s="7"/>
      <c r="I22" s="63" t="s">
        <v>21</v>
      </c>
      <c r="J22" s="139">
        <f>SUM(J4:J21)</f>
        <v>1213.74</v>
      </c>
      <c r="K22" s="2"/>
      <c r="L22" s="187"/>
      <c r="M22" s="7"/>
      <c r="N22" s="7"/>
    </row>
    <row r="23">
      <c r="E23" s="18" t="s">
        <v>134</v>
      </c>
      <c r="F23" s="143">
        <v>10.0</v>
      </c>
      <c r="H23" s="142"/>
      <c r="I23" s="162"/>
      <c r="J23" s="191"/>
      <c r="K23" s="192"/>
      <c r="L23" s="191"/>
      <c r="M23" s="7"/>
      <c r="N23" s="7"/>
    </row>
    <row r="24">
      <c r="E24" s="26" t="s">
        <v>137</v>
      </c>
      <c r="F24" s="144">
        <v>149.9</v>
      </c>
      <c r="H24" s="142"/>
      <c r="I24" s="7"/>
      <c r="J24" s="104"/>
      <c r="K24" s="7"/>
      <c r="L24" s="7"/>
      <c r="M24" s="7"/>
      <c r="N24" s="7"/>
    </row>
    <row r="25">
      <c r="E25" s="32" t="s">
        <v>138</v>
      </c>
      <c r="F25" s="145">
        <v>59.9</v>
      </c>
      <c r="H25" s="142"/>
      <c r="I25" s="7"/>
      <c r="J25" s="7"/>
      <c r="K25" s="7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2:K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3000.0</v>
      </c>
      <c r="G4" s="7"/>
      <c r="H4" s="4"/>
      <c r="I4" s="102" t="s">
        <v>275</v>
      </c>
      <c r="J4" s="158">
        <v>483.89</v>
      </c>
      <c r="K4" s="163" t="s">
        <v>309</v>
      </c>
      <c r="L4" s="103" t="s">
        <v>127</v>
      </c>
      <c r="M4" s="4"/>
      <c r="N4" s="28">
        <f>B19</f>
        <v>3933.68</v>
      </c>
      <c r="O4" s="9"/>
      <c r="P4" s="7"/>
      <c r="Q4" s="85">
        <f>N6-N4+N8+N10</f>
        <v>17196.77</v>
      </c>
    </row>
    <row r="5">
      <c r="A5" s="13" t="s">
        <v>6</v>
      </c>
      <c r="B5" s="115">
        <v>159.79</v>
      </c>
      <c r="C5" s="15"/>
      <c r="D5" s="4"/>
      <c r="E5" s="30" t="s">
        <v>184</v>
      </c>
      <c r="F5" s="31">
        <v>4000.0</v>
      </c>
      <c r="G5" s="7"/>
      <c r="H5" s="4"/>
      <c r="I5" s="82" t="s">
        <v>236</v>
      </c>
      <c r="J5" s="120">
        <v>16.68</v>
      </c>
      <c r="K5" s="121" t="s">
        <v>251</v>
      </c>
      <c r="L5" s="177" t="s">
        <v>141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32" t="s">
        <v>187</v>
      </c>
      <c r="J6" s="33">
        <v>543.73</v>
      </c>
      <c r="K6" s="170" t="s">
        <v>310</v>
      </c>
      <c r="L6" s="75" t="s">
        <v>116</v>
      </c>
      <c r="M6" s="67"/>
      <c r="N6" s="28">
        <f>F18</f>
        <v>11500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26" t="s">
        <v>268</v>
      </c>
      <c r="J7" s="27">
        <v>100.19</v>
      </c>
      <c r="K7" s="169" t="s">
        <v>251</v>
      </c>
      <c r="L7" s="74" t="s">
        <v>116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32"/>
      <c r="J8" s="76"/>
      <c r="K8" s="170"/>
      <c r="L8" s="75"/>
      <c r="M8" s="7"/>
      <c r="N8" s="42">
        <f>Novembro26!Q4</f>
        <v>9630.45</v>
      </c>
      <c r="P8" s="7"/>
      <c r="Q8" s="7"/>
      <c r="R8" s="7"/>
    </row>
    <row r="9">
      <c r="A9" s="43" t="s">
        <v>17</v>
      </c>
      <c r="B9" s="122">
        <v>0.0</v>
      </c>
      <c r="C9" s="15"/>
      <c r="D9" s="4"/>
      <c r="E9" s="39"/>
      <c r="F9" s="44"/>
      <c r="G9" s="7"/>
      <c r="H9" s="4"/>
      <c r="I9" s="26"/>
      <c r="J9" s="27"/>
      <c r="K9" s="169"/>
      <c r="L9" s="74"/>
      <c r="M9" s="7"/>
      <c r="N9" s="12" t="s">
        <v>19</v>
      </c>
      <c r="O9" s="9"/>
      <c r="P9" s="7"/>
      <c r="Q9" s="7"/>
      <c r="R9" s="7"/>
    </row>
    <row r="10">
      <c r="A10" s="41" t="s">
        <v>123</v>
      </c>
      <c r="B10" s="118">
        <v>300.0</v>
      </c>
      <c r="C10" s="46"/>
      <c r="D10" s="4"/>
      <c r="E10" s="35"/>
      <c r="F10" s="45"/>
      <c r="G10" s="7"/>
      <c r="H10" s="4"/>
      <c r="I10" s="32"/>
      <c r="J10" s="33"/>
      <c r="K10" s="170"/>
      <c r="L10" s="75"/>
      <c r="M10" s="7"/>
      <c r="N10" s="87">
        <v>0.0</v>
      </c>
      <c r="P10" s="7"/>
      <c r="Q10" s="7"/>
      <c r="R10" s="7"/>
    </row>
    <row r="11">
      <c r="A11" s="47" t="s">
        <v>127</v>
      </c>
      <c r="B11" s="115">
        <v>483.89</v>
      </c>
      <c r="C11" s="49"/>
      <c r="D11" s="4"/>
      <c r="E11" s="4"/>
      <c r="F11" s="48"/>
      <c r="G11" s="7"/>
      <c r="H11" s="4"/>
      <c r="I11" s="26"/>
      <c r="J11" s="27"/>
      <c r="K11" s="169"/>
      <c r="L11" s="74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32"/>
      <c r="J12" s="76"/>
      <c r="K12" s="170"/>
      <c r="L12" s="75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26"/>
      <c r="J13" s="77"/>
      <c r="K13" s="169"/>
      <c r="L13" s="74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32"/>
      <c r="J14" s="76"/>
      <c r="K14" s="170"/>
      <c r="L14" s="75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26"/>
      <c r="J15" s="77"/>
      <c r="K15" s="169"/>
      <c r="L15" s="74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32"/>
      <c r="J16" s="76"/>
      <c r="K16" s="170"/>
      <c r="L16" s="75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26"/>
      <c r="J17" s="77"/>
      <c r="K17" s="169"/>
      <c r="L17" s="74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11500</v>
      </c>
      <c r="G18" s="7"/>
      <c r="H18" s="7"/>
      <c r="I18" s="54"/>
      <c r="J18" s="171"/>
      <c r="K18" s="172"/>
      <c r="L18" s="99"/>
      <c r="M18" s="7"/>
      <c r="N18" s="7"/>
      <c r="O18" s="7"/>
    </row>
    <row r="19">
      <c r="A19" s="63" t="s">
        <v>21</v>
      </c>
      <c r="B19" s="95">
        <f>SUM(B3:B18)</f>
        <v>3933.68</v>
      </c>
      <c r="C19" s="7"/>
      <c r="D19" s="7"/>
      <c r="E19" s="7"/>
      <c r="F19" s="7"/>
      <c r="G19" s="7"/>
      <c r="H19" s="7"/>
      <c r="I19" s="57"/>
      <c r="J19" s="173"/>
      <c r="K19" s="174"/>
      <c r="L19" s="98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54"/>
      <c r="J20" s="171"/>
      <c r="K20" s="172"/>
      <c r="L20" s="99"/>
      <c r="M20" s="7"/>
      <c r="N20" s="7"/>
      <c r="O20" s="7"/>
    </row>
    <row r="21">
      <c r="E21" s="70" t="s">
        <v>22</v>
      </c>
      <c r="F21" s="2"/>
      <c r="H21" s="7"/>
      <c r="I21" s="57"/>
      <c r="J21" s="173"/>
      <c r="K21" s="174"/>
      <c r="L21" s="98"/>
      <c r="M21" s="7"/>
      <c r="N21" s="7"/>
    </row>
    <row r="22">
      <c r="E22" s="11" t="s">
        <v>23</v>
      </c>
      <c r="F22" s="2"/>
      <c r="H22" s="7"/>
      <c r="I22" s="63" t="s">
        <v>21</v>
      </c>
      <c r="J22" s="139">
        <f>SUM(J4:J21)</f>
        <v>1144.49</v>
      </c>
      <c r="K22" s="2"/>
      <c r="L22" s="187"/>
      <c r="M22" s="7"/>
      <c r="N22" s="7"/>
    </row>
    <row r="23">
      <c r="E23" s="18" t="s">
        <v>134</v>
      </c>
      <c r="F23" s="143">
        <v>10.0</v>
      </c>
      <c r="H23" s="142"/>
      <c r="I23" s="162"/>
      <c r="J23" s="191"/>
      <c r="K23" s="192"/>
      <c r="L23" s="191"/>
      <c r="M23" s="7"/>
      <c r="N23" s="7"/>
    </row>
    <row r="24">
      <c r="E24" s="26" t="s">
        <v>137</v>
      </c>
      <c r="F24" s="144">
        <v>149.9</v>
      </c>
      <c r="H24" s="142"/>
      <c r="I24" s="7"/>
      <c r="J24" s="104"/>
      <c r="K24" s="7"/>
      <c r="L24" s="7"/>
      <c r="M24" s="7"/>
      <c r="N24" s="7"/>
    </row>
    <row r="25">
      <c r="E25" s="32" t="s">
        <v>138</v>
      </c>
      <c r="F25" s="145">
        <v>59.9</v>
      </c>
      <c r="H25" s="142"/>
      <c r="I25" s="7"/>
      <c r="J25" s="7"/>
      <c r="K25" s="7"/>
      <c r="L25" s="7"/>
      <c r="M25" s="7"/>
      <c r="N25" s="7"/>
    </row>
    <row r="26">
      <c r="E26" s="26" t="s">
        <v>255</v>
      </c>
      <c r="F26" s="144">
        <v>10.0</v>
      </c>
      <c r="H26" s="142"/>
      <c r="I26" s="7"/>
      <c r="J26" s="7"/>
      <c r="K26" s="7"/>
      <c r="L26" s="7"/>
      <c r="M26" s="7"/>
      <c r="N26" s="7"/>
    </row>
    <row r="27">
      <c r="E27" s="176" t="s">
        <v>236</v>
      </c>
      <c r="F27" s="136">
        <v>16.68</v>
      </c>
      <c r="H27" s="142"/>
      <c r="I27" s="7"/>
      <c r="J27" s="7"/>
      <c r="K27" s="7"/>
      <c r="L27" s="7"/>
      <c r="M27" s="7"/>
      <c r="N27" s="7"/>
    </row>
    <row r="28">
      <c r="E28" s="26" t="s">
        <v>290</v>
      </c>
      <c r="F28" s="144">
        <v>30.0</v>
      </c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276.48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E21:F21"/>
    <mergeCell ref="E22:F22"/>
    <mergeCell ref="J22:K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13</v>
      </c>
      <c r="B3" s="115">
        <v>500.0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15</v>
      </c>
      <c r="B4" s="118">
        <v>1400.0</v>
      </c>
      <c r="C4" s="23"/>
      <c r="D4" s="4"/>
      <c r="E4" s="24" t="s">
        <v>32</v>
      </c>
      <c r="F4" s="25">
        <v>3136.84</v>
      </c>
      <c r="G4" s="7"/>
      <c r="H4" s="4"/>
      <c r="I4" s="82" t="s">
        <v>275</v>
      </c>
      <c r="J4" s="120">
        <v>483.89</v>
      </c>
      <c r="K4" s="121" t="s">
        <v>311</v>
      </c>
      <c r="L4" s="83" t="s">
        <v>127</v>
      </c>
      <c r="M4" s="4"/>
      <c r="N4" s="28">
        <f>B19</f>
        <v>3933.68</v>
      </c>
      <c r="O4" s="9"/>
      <c r="P4" s="7"/>
      <c r="Q4" s="85">
        <f>N6-N4+N8+N10</f>
        <v>20899.93</v>
      </c>
    </row>
    <row r="5">
      <c r="A5" s="13" t="s">
        <v>6</v>
      </c>
      <c r="B5" s="115">
        <v>159.79</v>
      </c>
      <c r="C5" s="15"/>
      <c r="D5" s="4"/>
      <c r="E5" s="30"/>
      <c r="F5" s="31"/>
      <c r="G5" s="7"/>
      <c r="H5" s="4"/>
      <c r="I5" s="80" t="s">
        <v>236</v>
      </c>
      <c r="J5" s="124">
        <v>16.68</v>
      </c>
      <c r="K5" s="125" t="s">
        <v>241</v>
      </c>
      <c r="L5" s="168" t="s">
        <v>141</v>
      </c>
      <c r="M5" s="4"/>
      <c r="N5" s="20" t="s">
        <v>1</v>
      </c>
      <c r="O5" s="9"/>
      <c r="P5" s="7"/>
      <c r="Q5" s="7"/>
      <c r="R5" s="7"/>
    </row>
    <row r="6">
      <c r="A6" s="41" t="s">
        <v>129</v>
      </c>
      <c r="B6" s="118">
        <v>400.0</v>
      </c>
      <c r="C6" s="34"/>
      <c r="D6" s="4"/>
      <c r="E6" s="35"/>
      <c r="F6" s="36"/>
      <c r="G6" s="7"/>
      <c r="H6" s="4"/>
      <c r="I6" s="82" t="s">
        <v>187</v>
      </c>
      <c r="J6" s="120">
        <v>543.73</v>
      </c>
      <c r="K6" s="121" t="s">
        <v>312</v>
      </c>
      <c r="L6" s="83" t="s">
        <v>116</v>
      </c>
      <c r="M6" s="67"/>
      <c r="N6" s="28">
        <f>F18</f>
        <v>7636.84</v>
      </c>
      <c r="O6" s="9"/>
      <c r="P6" s="7"/>
      <c r="Q6" s="7"/>
      <c r="R6" s="7"/>
    </row>
    <row r="7">
      <c r="A7" s="43" t="s">
        <v>148</v>
      </c>
      <c r="B7" s="122">
        <v>40.0</v>
      </c>
      <c r="C7" s="53"/>
      <c r="D7" s="4"/>
      <c r="E7" s="39"/>
      <c r="F7" s="40"/>
      <c r="G7" s="7"/>
      <c r="H7" s="4"/>
      <c r="I7" s="80" t="s">
        <v>268</v>
      </c>
      <c r="J7" s="124">
        <v>100.19</v>
      </c>
      <c r="K7" s="125" t="s">
        <v>241</v>
      </c>
      <c r="L7" s="81" t="s">
        <v>116</v>
      </c>
      <c r="N7" s="12" t="s">
        <v>16</v>
      </c>
      <c r="O7" s="9"/>
      <c r="P7" s="7"/>
      <c r="Q7" s="7"/>
      <c r="R7" s="7"/>
    </row>
    <row r="8">
      <c r="A8" s="41" t="s">
        <v>187</v>
      </c>
      <c r="B8" s="118">
        <v>650.0</v>
      </c>
      <c r="C8" s="34"/>
      <c r="D8" s="4"/>
      <c r="E8" s="35"/>
      <c r="F8" s="36"/>
      <c r="G8" s="7"/>
      <c r="H8" s="4"/>
      <c r="I8" s="82"/>
      <c r="J8" s="120"/>
      <c r="K8" s="121"/>
      <c r="L8" s="83"/>
      <c r="M8" s="7"/>
      <c r="N8" s="42">
        <f>Dezembro26!Q4</f>
        <v>17196.77</v>
      </c>
      <c r="P8" s="7"/>
      <c r="Q8" s="7"/>
      <c r="R8" s="7"/>
    </row>
    <row r="9">
      <c r="A9" s="43" t="s">
        <v>17</v>
      </c>
      <c r="B9" s="122">
        <v>0.0</v>
      </c>
      <c r="C9" s="15"/>
      <c r="D9" s="4"/>
      <c r="E9" s="39"/>
      <c r="F9" s="44"/>
      <c r="G9" s="7"/>
      <c r="H9" s="4"/>
      <c r="I9" s="80"/>
      <c r="J9" s="124"/>
      <c r="K9" s="163"/>
      <c r="L9" s="81"/>
      <c r="M9" s="7"/>
      <c r="N9" s="12" t="s">
        <v>19</v>
      </c>
      <c r="O9" s="9"/>
      <c r="P9" s="7"/>
      <c r="Q9" s="7"/>
      <c r="R9" s="7"/>
    </row>
    <row r="10">
      <c r="A10" s="41" t="s">
        <v>123</v>
      </c>
      <c r="B10" s="118">
        <v>300.0</v>
      </c>
      <c r="C10" s="46"/>
      <c r="D10" s="4"/>
      <c r="E10" s="35"/>
      <c r="F10" s="45"/>
      <c r="G10" s="7"/>
      <c r="H10" s="4"/>
      <c r="I10" s="82"/>
      <c r="J10" s="120"/>
      <c r="K10" s="121"/>
      <c r="L10" s="83"/>
      <c r="M10" s="7"/>
      <c r="N10" s="87">
        <v>0.0</v>
      </c>
      <c r="P10" s="7"/>
      <c r="Q10" s="7"/>
      <c r="R10" s="7"/>
    </row>
    <row r="11">
      <c r="A11" s="47" t="s">
        <v>127</v>
      </c>
      <c r="B11" s="115">
        <v>483.89</v>
      </c>
      <c r="C11" s="49"/>
      <c r="D11" s="4"/>
      <c r="E11" s="4"/>
      <c r="F11" s="48"/>
      <c r="G11" s="7"/>
      <c r="H11" s="4"/>
      <c r="I11" s="80"/>
      <c r="J11" s="124"/>
      <c r="K11" s="125"/>
      <c r="L11" s="81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2"/>
      <c r="J12" s="120"/>
      <c r="K12" s="121"/>
      <c r="L12" s="83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0"/>
      <c r="J13" s="124"/>
      <c r="K13" s="125"/>
      <c r="L13" s="153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/>
      <c r="J14" s="120"/>
      <c r="K14" s="121"/>
      <c r="L14" s="86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/>
      <c r="J15" s="124"/>
      <c r="K15" s="125"/>
      <c r="L15" s="81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/>
      <c r="J16" s="120"/>
      <c r="K16" s="121"/>
      <c r="L16" s="86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02"/>
      <c r="J17" s="158"/>
      <c r="K17" s="163"/>
      <c r="L17" s="193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7636.84</v>
      </c>
      <c r="G18" s="7"/>
      <c r="H18" s="7"/>
      <c r="I18" s="63" t="s">
        <v>21</v>
      </c>
      <c r="J18" s="139">
        <f>SUM(J4:J13)</f>
        <v>1144.49</v>
      </c>
      <c r="K18" s="2"/>
      <c r="L18" s="162"/>
      <c r="M18" s="7"/>
      <c r="N18" s="7"/>
      <c r="O18" s="7"/>
    </row>
    <row r="19">
      <c r="A19" s="63" t="s">
        <v>21</v>
      </c>
      <c r="B19" s="95">
        <f>SUM(B3:B18)</f>
        <v>3933.68</v>
      </c>
      <c r="C19" s="7"/>
      <c r="D19" s="7"/>
      <c r="E19" s="7"/>
      <c r="F19" s="7"/>
      <c r="G19" s="7"/>
      <c r="H19" s="7"/>
      <c r="I19" s="162"/>
      <c r="J19" s="191"/>
      <c r="K19" s="192"/>
      <c r="L19" s="191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2"/>
      <c r="J20" s="191"/>
      <c r="K20" s="192"/>
      <c r="L20" s="162"/>
      <c r="M20" s="7"/>
      <c r="N20" s="7"/>
      <c r="O20" s="7"/>
    </row>
    <row r="21">
      <c r="E21" s="70" t="s">
        <v>22</v>
      </c>
      <c r="F21" s="2"/>
      <c r="H21" s="7"/>
      <c r="I21" s="162"/>
      <c r="J21" s="191"/>
      <c r="K21" s="192"/>
      <c r="L21" s="162"/>
      <c r="M21" s="7"/>
      <c r="N21" s="7"/>
    </row>
    <row r="22">
      <c r="E22" s="11" t="s">
        <v>23</v>
      </c>
      <c r="F22" s="2"/>
      <c r="H22" s="7"/>
      <c r="I22" s="162"/>
      <c r="J22" s="191"/>
      <c r="K22" s="192"/>
      <c r="L22" s="191"/>
      <c r="M22" s="7"/>
      <c r="N22" s="7"/>
    </row>
    <row r="23">
      <c r="E23" s="18"/>
      <c r="F23" s="143"/>
      <c r="H23" s="142"/>
      <c r="I23" s="162"/>
      <c r="J23" s="191"/>
      <c r="K23" s="192"/>
      <c r="L23" s="191"/>
      <c r="M23" s="7"/>
      <c r="N23" s="7"/>
    </row>
    <row r="24">
      <c r="E24" s="26"/>
      <c r="F24" s="144"/>
      <c r="H24" s="142"/>
      <c r="I24" s="7"/>
      <c r="J24" s="104"/>
      <c r="K24" s="7"/>
      <c r="L24" s="7"/>
      <c r="M24" s="7"/>
      <c r="N24" s="7"/>
    </row>
    <row r="25">
      <c r="E25" s="32"/>
      <c r="F25" s="145"/>
      <c r="H25" s="142"/>
      <c r="I25" s="7"/>
      <c r="J25" s="7"/>
      <c r="K25" s="7"/>
      <c r="L25" s="7"/>
      <c r="M25" s="7"/>
      <c r="N25" s="7"/>
    </row>
    <row r="26">
      <c r="E26" s="26"/>
      <c r="F26" s="144"/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0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J18:K18"/>
    <mergeCell ref="E21:F21"/>
    <mergeCell ref="E22:F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15</v>
      </c>
      <c r="B3" s="115">
        <v>1400.0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6</v>
      </c>
      <c r="B4" s="118">
        <v>159.79</v>
      </c>
      <c r="C4" s="23"/>
      <c r="D4" s="4"/>
      <c r="E4" s="24" t="s">
        <v>32</v>
      </c>
      <c r="F4" s="25">
        <v>3136.84</v>
      </c>
      <c r="G4" s="7"/>
      <c r="H4" s="4"/>
      <c r="I4" s="82" t="s">
        <v>275</v>
      </c>
      <c r="J4" s="120">
        <v>483.89</v>
      </c>
      <c r="K4" s="121" t="s">
        <v>313</v>
      </c>
      <c r="L4" s="83" t="s">
        <v>127</v>
      </c>
      <c r="M4" s="4"/>
      <c r="N4" s="28">
        <f>B19</f>
        <v>2783.68</v>
      </c>
      <c r="O4" s="9"/>
      <c r="P4" s="7"/>
      <c r="Q4" s="85">
        <f>N6-N4+N8+N10</f>
        <v>25753.09</v>
      </c>
    </row>
    <row r="5">
      <c r="A5" s="47" t="s">
        <v>129</v>
      </c>
      <c r="B5" s="115">
        <v>400.0</v>
      </c>
      <c r="C5" s="15"/>
      <c r="D5" s="4"/>
      <c r="E5" s="30"/>
      <c r="F5" s="31"/>
      <c r="G5" s="7"/>
      <c r="H5" s="4"/>
      <c r="I5" s="80" t="s">
        <v>187</v>
      </c>
      <c r="J5" s="124">
        <v>543.73</v>
      </c>
      <c r="K5" s="125" t="s">
        <v>314</v>
      </c>
      <c r="L5" s="81" t="s">
        <v>116</v>
      </c>
      <c r="M5" s="4"/>
      <c r="N5" s="20" t="s">
        <v>1</v>
      </c>
      <c r="O5" s="9"/>
      <c r="P5" s="7"/>
      <c r="Q5" s="7"/>
      <c r="R5" s="7"/>
    </row>
    <row r="6">
      <c r="A6" s="41" t="s">
        <v>148</v>
      </c>
      <c r="B6" s="118">
        <v>40.0</v>
      </c>
      <c r="C6" s="34"/>
      <c r="D6" s="4"/>
      <c r="E6" s="35"/>
      <c r="F6" s="36"/>
      <c r="G6" s="7"/>
      <c r="H6" s="4"/>
      <c r="I6" s="82"/>
      <c r="J6" s="120"/>
      <c r="K6" s="121"/>
      <c r="L6" s="83"/>
      <c r="M6" s="67"/>
      <c r="N6" s="28">
        <f>F18</f>
        <v>7636.84</v>
      </c>
      <c r="O6" s="9"/>
      <c r="P6" s="7"/>
      <c r="Q6" s="7"/>
      <c r="R6" s="7"/>
    </row>
    <row r="7">
      <c r="A7" s="43" t="s">
        <v>17</v>
      </c>
      <c r="B7" s="122">
        <v>0.0</v>
      </c>
      <c r="C7" s="53"/>
      <c r="D7" s="4"/>
      <c r="E7" s="39"/>
      <c r="F7" s="40"/>
      <c r="G7" s="7"/>
      <c r="H7" s="4"/>
      <c r="I7" s="80"/>
      <c r="J7" s="124"/>
      <c r="K7" s="125"/>
      <c r="L7" s="81"/>
      <c r="N7" s="12" t="s">
        <v>16</v>
      </c>
      <c r="O7" s="9"/>
      <c r="P7" s="7"/>
      <c r="Q7" s="7"/>
      <c r="R7" s="7"/>
    </row>
    <row r="8">
      <c r="A8" s="41" t="s">
        <v>123</v>
      </c>
      <c r="B8" s="118">
        <v>300.0</v>
      </c>
      <c r="C8" s="34"/>
      <c r="D8" s="4"/>
      <c r="E8" s="35"/>
      <c r="F8" s="36"/>
      <c r="G8" s="7"/>
      <c r="H8" s="4"/>
      <c r="I8" s="82"/>
      <c r="J8" s="120"/>
      <c r="K8" s="121"/>
      <c r="L8" s="83"/>
      <c r="M8" s="7"/>
      <c r="N8" s="42">
        <f>Janeiro27!Q4</f>
        <v>20899.93</v>
      </c>
      <c r="P8" s="7"/>
      <c r="Q8" s="7"/>
      <c r="R8" s="7"/>
    </row>
    <row r="9">
      <c r="A9" s="47" t="s">
        <v>127</v>
      </c>
      <c r="B9" s="115">
        <v>483.89</v>
      </c>
      <c r="C9" s="15"/>
      <c r="D9" s="4"/>
      <c r="E9" s="39"/>
      <c r="F9" s="44"/>
      <c r="G9" s="7"/>
      <c r="H9" s="4"/>
      <c r="I9" s="80"/>
      <c r="J9" s="124"/>
      <c r="K9" s="163"/>
      <c r="L9" s="81"/>
      <c r="M9" s="7"/>
      <c r="N9" s="12" t="s">
        <v>19</v>
      </c>
      <c r="O9" s="9"/>
      <c r="P9" s="7"/>
      <c r="Q9" s="7"/>
      <c r="R9" s="7"/>
    </row>
    <row r="10">
      <c r="A10" s="41"/>
      <c r="B10" s="118"/>
      <c r="C10" s="46"/>
      <c r="D10" s="4"/>
      <c r="E10" s="35"/>
      <c r="F10" s="45"/>
      <c r="G10" s="7"/>
      <c r="H10" s="4"/>
      <c r="I10" s="82"/>
      <c r="J10" s="120"/>
      <c r="K10" s="121"/>
      <c r="L10" s="83"/>
      <c r="M10" s="7"/>
      <c r="N10" s="87">
        <v>0.0</v>
      </c>
      <c r="P10" s="7"/>
      <c r="Q10" s="7"/>
      <c r="R10" s="7"/>
    </row>
    <row r="11">
      <c r="A11" s="43"/>
      <c r="B11" s="122"/>
      <c r="C11" s="49"/>
      <c r="D11" s="4"/>
      <c r="E11" s="4"/>
      <c r="F11" s="48"/>
      <c r="G11" s="7"/>
      <c r="H11" s="4"/>
      <c r="I11" s="80"/>
      <c r="J11" s="124"/>
      <c r="K11" s="125"/>
      <c r="L11" s="81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2"/>
      <c r="J12" s="120"/>
      <c r="K12" s="121"/>
      <c r="L12" s="83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0"/>
      <c r="J13" s="124"/>
      <c r="K13" s="125"/>
      <c r="L13" s="153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/>
      <c r="J14" s="120"/>
      <c r="K14" s="121"/>
      <c r="L14" s="86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/>
      <c r="J15" s="124"/>
      <c r="K15" s="125"/>
      <c r="L15" s="81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/>
      <c r="J16" s="120"/>
      <c r="K16" s="121"/>
      <c r="L16" s="86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02"/>
      <c r="J17" s="158"/>
      <c r="K17" s="163"/>
      <c r="L17" s="193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7636.84</v>
      </c>
      <c r="G18" s="7"/>
      <c r="H18" s="7"/>
      <c r="I18" s="63" t="s">
        <v>21</v>
      </c>
      <c r="J18" s="139">
        <f>SUM(J4:J13)</f>
        <v>1027.62</v>
      </c>
      <c r="K18" s="2"/>
      <c r="L18" s="162"/>
      <c r="M18" s="7"/>
      <c r="N18" s="7"/>
      <c r="O18" s="7"/>
    </row>
    <row r="19">
      <c r="A19" s="63" t="s">
        <v>21</v>
      </c>
      <c r="B19" s="95">
        <f>SUM(B3:B18)</f>
        <v>2783.68</v>
      </c>
      <c r="C19" s="7"/>
      <c r="D19" s="7"/>
      <c r="E19" s="7"/>
      <c r="F19" s="7"/>
      <c r="G19" s="7"/>
      <c r="H19" s="7"/>
      <c r="I19" s="162"/>
      <c r="J19" s="191"/>
      <c r="K19" s="192"/>
      <c r="L19" s="191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2"/>
      <c r="J20" s="191"/>
      <c r="K20" s="192"/>
      <c r="L20" s="162"/>
      <c r="M20" s="7"/>
      <c r="N20" s="7"/>
      <c r="O20" s="7"/>
    </row>
    <row r="21">
      <c r="E21" s="70" t="s">
        <v>22</v>
      </c>
      <c r="F21" s="2"/>
      <c r="H21" s="7"/>
      <c r="I21" s="162"/>
      <c r="J21" s="191"/>
      <c r="K21" s="192"/>
      <c r="L21" s="162"/>
      <c r="M21" s="7"/>
      <c r="N21" s="7"/>
    </row>
    <row r="22">
      <c r="E22" s="11" t="s">
        <v>23</v>
      </c>
      <c r="F22" s="2"/>
      <c r="H22" s="7"/>
      <c r="I22" s="162"/>
      <c r="J22" s="191"/>
      <c r="K22" s="192"/>
      <c r="L22" s="191"/>
      <c r="M22" s="7"/>
      <c r="N22" s="7"/>
    </row>
    <row r="23">
      <c r="E23" s="18"/>
      <c r="F23" s="143"/>
      <c r="H23" s="142"/>
      <c r="I23" s="162"/>
      <c r="J23" s="191"/>
      <c r="K23" s="192"/>
      <c r="L23" s="191"/>
      <c r="M23" s="7"/>
      <c r="N23" s="7"/>
    </row>
    <row r="24">
      <c r="E24" s="26"/>
      <c r="F24" s="144"/>
      <c r="H24" s="142"/>
      <c r="I24" s="7"/>
      <c r="J24" s="104"/>
      <c r="K24" s="7"/>
      <c r="L24" s="7"/>
      <c r="M24" s="7"/>
      <c r="N24" s="7"/>
    </row>
    <row r="25">
      <c r="E25" s="32"/>
      <c r="F25" s="145"/>
      <c r="H25" s="142"/>
      <c r="I25" s="7"/>
      <c r="J25" s="7"/>
      <c r="K25" s="7"/>
      <c r="L25" s="7"/>
      <c r="M25" s="7"/>
      <c r="N25" s="7"/>
    </row>
    <row r="26">
      <c r="E26" s="26"/>
      <c r="F26" s="144"/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0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J18:K18"/>
    <mergeCell ref="E21:F21"/>
    <mergeCell ref="E22:F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15</v>
      </c>
      <c r="B3" s="115">
        <v>1400.0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6</v>
      </c>
      <c r="B4" s="118">
        <v>159.79</v>
      </c>
      <c r="C4" s="23"/>
      <c r="D4" s="4"/>
      <c r="E4" s="24" t="s">
        <v>32</v>
      </c>
      <c r="F4" s="25">
        <v>3136.84</v>
      </c>
      <c r="G4" s="7"/>
      <c r="H4" s="4"/>
      <c r="I4" s="82" t="s">
        <v>187</v>
      </c>
      <c r="J4" s="120">
        <v>543.73</v>
      </c>
      <c r="K4" s="121" t="s">
        <v>315</v>
      </c>
      <c r="L4" s="83" t="s">
        <v>116</v>
      </c>
      <c r="M4" s="4"/>
      <c r="N4" s="28">
        <f>B19</f>
        <v>2483.68</v>
      </c>
      <c r="O4" s="9"/>
      <c r="P4" s="7"/>
      <c r="Q4" s="85">
        <f>N6-N4+N8+N10</f>
        <v>30906.25</v>
      </c>
    </row>
    <row r="5">
      <c r="A5" s="47" t="s">
        <v>129</v>
      </c>
      <c r="B5" s="115">
        <v>400.0</v>
      </c>
      <c r="C5" s="15"/>
      <c r="D5" s="4"/>
      <c r="E5" s="30"/>
      <c r="F5" s="31"/>
      <c r="G5" s="7"/>
      <c r="H5" s="4"/>
      <c r="I5" s="80" t="s">
        <v>275</v>
      </c>
      <c r="J5" s="124">
        <v>483.89</v>
      </c>
      <c r="K5" s="125" t="s">
        <v>316</v>
      </c>
      <c r="L5" s="81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148</v>
      </c>
      <c r="B6" s="118">
        <v>40.0</v>
      </c>
      <c r="C6" s="34"/>
      <c r="D6" s="4"/>
      <c r="E6" s="35"/>
      <c r="F6" s="36"/>
      <c r="G6" s="7"/>
      <c r="H6" s="4"/>
      <c r="I6" s="82"/>
      <c r="J6" s="120"/>
      <c r="K6" s="121"/>
      <c r="L6" s="83"/>
      <c r="M6" s="67"/>
      <c r="N6" s="28">
        <f>F18</f>
        <v>7636.84</v>
      </c>
      <c r="O6" s="9"/>
      <c r="P6" s="7"/>
      <c r="Q6" s="7"/>
      <c r="R6" s="7"/>
    </row>
    <row r="7">
      <c r="A7" s="43" t="s">
        <v>317</v>
      </c>
      <c r="B7" s="122">
        <v>0.0</v>
      </c>
      <c r="C7" s="53"/>
      <c r="D7" s="4"/>
      <c r="E7" s="39"/>
      <c r="F7" s="40"/>
      <c r="G7" s="7"/>
      <c r="H7" s="4"/>
      <c r="I7" s="80"/>
      <c r="J7" s="124"/>
      <c r="K7" s="125"/>
      <c r="L7" s="81"/>
      <c r="N7" s="12" t="s">
        <v>16</v>
      </c>
      <c r="O7" s="9"/>
      <c r="P7" s="7"/>
      <c r="Q7" s="7"/>
      <c r="R7" s="7"/>
    </row>
    <row r="8">
      <c r="A8" s="41" t="s">
        <v>318</v>
      </c>
      <c r="B8" s="126">
        <v>483.89</v>
      </c>
      <c r="C8" s="34"/>
      <c r="D8" s="4"/>
      <c r="E8" s="35"/>
      <c r="F8" s="36"/>
      <c r="G8" s="7"/>
      <c r="H8" s="4"/>
      <c r="I8" s="82"/>
      <c r="J8" s="120"/>
      <c r="K8" s="121"/>
      <c r="L8" s="83"/>
      <c r="M8" s="7"/>
      <c r="N8" s="42">
        <f>Fevereiro27!Q4</f>
        <v>25753.09</v>
      </c>
      <c r="P8" s="7"/>
      <c r="Q8" s="7"/>
      <c r="R8" s="7"/>
    </row>
    <row r="9">
      <c r="A9" s="43" t="s">
        <v>319</v>
      </c>
      <c r="B9" s="122">
        <v>0.0</v>
      </c>
      <c r="C9" s="15"/>
      <c r="D9" s="4"/>
      <c r="E9" s="39"/>
      <c r="F9" s="44"/>
      <c r="G9" s="7"/>
      <c r="H9" s="4"/>
      <c r="I9" s="80"/>
      <c r="J9" s="124"/>
      <c r="K9" s="163"/>
      <c r="L9" s="81"/>
      <c r="M9" s="7"/>
      <c r="N9" s="12" t="s">
        <v>19</v>
      </c>
      <c r="O9" s="9"/>
      <c r="P9" s="7"/>
      <c r="Q9" s="7"/>
      <c r="R9" s="7"/>
    </row>
    <row r="10">
      <c r="A10" s="41"/>
      <c r="B10" s="118"/>
      <c r="C10" s="46"/>
      <c r="D10" s="4"/>
      <c r="E10" s="35"/>
      <c r="F10" s="45"/>
      <c r="G10" s="7"/>
      <c r="H10" s="4"/>
      <c r="I10" s="82"/>
      <c r="J10" s="120"/>
      <c r="K10" s="121"/>
      <c r="L10" s="83"/>
      <c r="M10" s="7"/>
      <c r="N10" s="87">
        <v>0.0</v>
      </c>
      <c r="P10" s="7"/>
      <c r="Q10" s="7"/>
      <c r="R10" s="7"/>
    </row>
    <row r="11">
      <c r="A11" s="43"/>
      <c r="B11" s="122"/>
      <c r="C11" s="49"/>
      <c r="D11" s="4"/>
      <c r="E11" s="4"/>
      <c r="F11" s="48"/>
      <c r="G11" s="7"/>
      <c r="H11" s="4"/>
      <c r="I11" s="80"/>
      <c r="J11" s="124"/>
      <c r="K11" s="125"/>
      <c r="L11" s="81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2"/>
      <c r="J12" s="120"/>
      <c r="K12" s="121"/>
      <c r="L12" s="83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0"/>
      <c r="J13" s="124"/>
      <c r="K13" s="125"/>
      <c r="L13" s="153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/>
      <c r="J14" s="120"/>
      <c r="K14" s="121"/>
      <c r="L14" s="86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/>
      <c r="J15" s="124"/>
      <c r="K15" s="125"/>
      <c r="L15" s="81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/>
      <c r="J16" s="120"/>
      <c r="K16" s="121"/>
      <c r="L16" s="86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02"/>
      <c r="J17" s="158"/>
      <c r="K17" s="163"/>
      <c r="L17" s="193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7636.84</v>
      </c>
      <c r="G18" s="7"/>
      <c r="H18" s="7"/>
      <c r="I18" s="63" t="s">
        <v>21</v>
      </c>
      <c r="J18" s="139">
        <f>SUM(J4:J13)</f>
        <v>1027.62</v>
      </c>
      <c r="K18" s="2"/>
      <c r="L18" s="162"/>
      <c r="M18" s="7"/>
      <c r="N18" s="7"/>
      <c r="O18" s="7"/>
    </row>
    <row r="19">
      <c r="A19" s="63" t="s">
        <v>21</v>
      </c>
      <c r="B19" s="95">
        <f>SUM(B3:B18)</f>
        <v>2483.68</v>
      </c>
      <c r="C19" s="7"/>
      <c r="D19" s="7"/>
      <c r="E19" s="7"/>
      <c r="F19" s="7"/>
      <c r="G19" s="7"/>
      <c r="H19" s="7"/>
      <c r="I19" s="162"/>
      <c r="J19" s="191"/>
      <c r="K19" s="192"/>
      <c r="L19" s="191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2"/>
      <c r="J20" s="191"/>
      <c r="K20" s="192"/>
      <c r="L20" s="162"/>
      <c r="M20" s="7"/>
      <c r="N20" s="7"/>
      <c r="O20" s="7"/>
    </row>
    <row r="21">
      <c r="E21" s="70" t="s">
        <v>22</v>
      </c>
      <c r="F21" s="2"/>
      <c r="H21" s="7"/>
      <c r="I21" s="162"/>
      <c r="J21" s="191"/>
      <c r="K21" s="192"/>
      <c r="L21" s="162"/>
      <c r="M21" s="7"/>
      <c r="N21" s="7"/>
    </row>
    <row r="22">
      <c r="E22" s="11" t="s">
        <v>23</v>
      </c>
      <c r="F22" s="2"/>
      <c r="H22" s="7"/>
      <c r="I22" s="162"/>
      <c r="J22" s="191"/>
      <c r="K22" s="192"/>
      <c r="L22" s="191"/>
      <c r="M22" s="7"/>
      <c r="N22" s="7"/>
    </row>
    <row r="23">
      <c r="E23" s="18"/>
      <c r="F23" s="143"/>
      <c r="H23" s="142"/>
      <c r="I23" s="162"/>
      <c r="J23" s="191"/>
      <c r="K23" s="192"/>
      <c r="L23" s="191"/>
      <c r="M23" s="7"/>
      <c r="N23" s="7"/>
    </row>
    <row r="24">
      <c r="E24" s="26"/>
      <c r="F24" s="144"/>
      <c r="H24" s="142"/>
      <c r="I24" s="7"/>
      <c r="J24" s="104"/>
      <c r="K24" s="7"/>
      <c r="L24" s="7"/>
      <c r="M24" s="7"/>
      <c r="N24" s="7"/>
    </row>
    <row r="25">
      <c r="E25" s="32"/>
      <c r="F25" s="145"/>
      <c r="H25" s="142"/>
      <c r="I25" s="7"/>
      <c r="J25" s="7"/>
      <c r="K25" s="7"/>
      <c r="L25" s="7"/>
      <c r="M25" s="7"/>
      <c r="N25" s="7"/>
    </row>
    <row r="26">
      <c r="E26" s="26"/>
      <c r="F26" s="144"/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0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J18:K18"/>
    <mergeCell ref="E21:F21"/>
    <mergeCell ref="E22:F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15</v>
      </c>
      <c r="B3" s="115">
        <v>1400.0</v>
      </c>
      <c r="C3" s="15"/>
      <c r="D3" s="4"/>
      <c r="E3" s="16" t="s">
        <v>31</v>
      </c>
      <c r="F3" s="17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6</v>
      </c>
      <c r="B4" s="118">
        <v>159.79</v>
      </c>
      <c r="C4" s="23"/>
      <c r="D4" s="4"/>
      <c r="E4" s="24" t="s">
        <v>32</v>
      </c>
      <c r="F4" s="25">
        <v>3136.84</v>
      </c>
      <c r="G4" s="7"/>
      <c r="H4" s="4"/>
      <c r="I4" s="82" t="s">
        <v>187</v>
      </c>
      <c r="J4" s="120">
        <v>543.73</v>
      </c>
      <c r="K4" s="121" t="s">
        <v>320</v>
      </c>
      <c r="L4" s="83" t="s">
        <v>116</v>
      </c>
      <c r="M4" s="4"/>
      <c r="N4" s="28">
        <f>B19</f>
        <v>2483.68</v>
      </c>
      <c r="O4" s="9"/>
      <c r="P4" s="7"/>
      <c r="Q4" s="85">
        <f>N6-N4+N8+N10</f>
        <v>40726.59</v>
      </c>
    </row>
    <row r="5">
      <c r="A5" s="47" t="s">
        <v>129</v>
      </c>
      <c r="B5" s="115">
        <v>400.0</v>
      </c>
      <c r="C5" s="15"/>
      <c r="D5" s="4"/>
      <c r="E5" s="30" t="s">
        <v>40</v>
      </c>
      <c r="F5" s="31">
        <v>4667.18</v>
      </c>
      <c r="G5" s="7"/>
      <c r="H5" s="4"/>
      <c r="I5" s="80" t="s">
        <v>275</v>
      </c>
      <c r="J5" s="124">
        <v>483.89</v>
      </c>
      <c r="K5" s="125" t="s">
        <v>321</v>
      </c>
      <c r="L5" s="81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148</v>
      </c>
      <c r="B6" s="118">
        <v>40.0</v>
      </c>
      <c r="C6" s="34"/>
      <c r="D6" s="4"/>
      <c r="E6" s="35"/>
      <c r="F6" s="36"/>
      <c r="G6" s="7"/>
      <c r="H6" s="4"/>
      <c r="I6" s="82"/>
      <c r="J6" s="120"/>
      <c r="K6" s="121"/>
      <c r="L6" s="83"/>
      <c r="M6" s="67"/>
      <c r="N6" s="28">
        <f>F18</f>
        <v>12304.02</v>
      </c>
      <c r="O6" s="9"/>
      <c r="P6" s="7"/>
      <c r="Q6" s="7"/>
      <c r="R6" s="7"/>
    </row>
    <row r="7">
      <c r="A7" s="43" t="s">
        <v>317</v>
      </c>
      <c r="B7" s="122">
        <v>0.0</v>
      </c>
      <c r="C7" s="53"/>
      <c r="D7" s="4"/>
      <c r="E7" s="39"/>
      <c r="F7" s="40"/>
      <c r="G7" s="7"/>
      <c r="H7" s="4"/>
      <c r="I7" s="80"/>
      <c r="J7" s="124"/>
      <c r="K7" s="125"/>
      <c r="L7" s="81"/>
      <c r="N7" s="12" t="s">
        <v>16</v>
      </c>
      <c r="O7" s="9"/>
      <c r="P7" s="7"/>
      <c r="Q7" s="7"/>
      <c r="R7" s="7"/>
    </row>
    <row r="8">
      <c r="A8" s="41" t="s">
        <v>318</v>
      </c>
      <c r="B8" s="126">
        <v>483.89</v>
      </c>
      <c r="C8" s="34"/>
      <c r="D8" s="4"/>
      <c r="E8" s="35"/>
      <c r="F8" s="36"/>
      <c r="G8" s="7"/>
      <c r="H8" s="4"/>
      <c r="I8" s="82"/>
      <c r="J8" s="120"/>
      <c r="K8" s="121"/>
      <c r="L8" s="83"/>
      <c r="M8" s="7"/>
      <c r="N8" s="42">
        <f>'Março27'!Q4</f>
        <v>30906.25</v>
      </c>
      <c r="P8" s="7"/>
      <c r="Q8" s="7"/>
      <c r="R8" s="7"/>
    </row>
    <row r="9">
      <c r="A9" s="43" t="s">
        <v>319</v>
      </c>
      <c r="B9" s="122">
        <v>0.0</v>
      </c>
      <c r="C9" s="15"/>
      <c r="D9" s="4"/>
      <c r="E9" s="39"/>
      <c r="F9" s="44"/>
      <c r="G9" s="7"/>
      <c r="H9" s="4"/>
      <c r="I9" s="80"/>
      <c r="J9" s="124"/>
      <c r="K9" s="163"/>
      <c r="L9" s="81"/>
      <c r="M9" s="7"/>
      <c r="N9" s="12" t="s">
        <v>19</v>
      </c>
      <c r="O9" s="9"/>
      <c r="P9" s="7"/>
      <c r="Q9" s="7"/>
      <c r="R9" s="7"/>
    </row>
    <row r="10">
      <c r="A10" s="41"/>
      <c r="B10" s="118"/>
      <c r="C10" s="46"/>
      <c r="D10" s="4"/>
      <c r="E10" s="35"/>
      <c r="F10" s="45"/>
      <c r="G10" s="7"/>
      <c r="H10" s="4"/>
      <c r="I10" s="82"/>
      <c r="J10" s="120"/>
      <c r="K10" s="121"/>
      <c r="L10" s="83"/>
      <c r="M10" s="7"/>
      <c r="N10" s="87">
        <v>0.0</v>
      </c>
      <c r="P10" s="7"/>
      <c r="Q10" s="7"/>
      <c r="R10" s="7"/>
    </row>
    <row r="11">
      <c r="A11" s="43"/>
      <c r="B11" s="122"/>
      <c r="C11" s="49"/>
      <c r="D11" s="4"/>
      <c r="E11" s="4"/>
      <c r="F11" s="48"/>
      <c r="G11" s="7"/>
      <c r="H11" s="4"/>
      <c r="I11" s="80"/>
      <c r="J11" s="124"/>
      <c r="K11" s="125"/>
      <c r="L11" s="81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2"/>
      <c r="J12" s="120"/>
      <c r="K12" s="121"/>
      <c r="L12" s="83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0"/>
      <c r="J13" s="124"/>
      <c r="K13" s="125"/>
      <c r="L13" s="153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/>
      <c r="J14" s="120"/>
      <c r="K14" s="121"/>
      <c r="L14" s="86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/>
      <c r="J15" s="124"/>
      <c r="K15" s="125"/>
      <c r="L15" s="81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/>
      <c r="J16" s="120"/>
      <c r="K16" s="121"/>
      <c r="L16" s="86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02"/>
      <c r="J17" s="158"/>
      <c r="K17" s="163"/>
      <c r="L17" s="193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12304.02</v>
      </c>
      <c r="G18" s="7"/>
      <c r="H18" s="7"/>
      <c r="I18" s="63" t="s">
        <v>21</v>
      </c>
      <c r="J18" s="139">
        <f>SUM(J4:J13)</f>
        <v>1027.62</v>
      </c>
      <c r="K18" s="2"/>
      <c r="L18" s="162"/>
      <c r="M18" s="7"/>
      <c r="N18" s="7"/>
      <c r="O18" s="7"/>
    </row>
    <row r="19">
      <c r="A19" s="63" t="s">
        <v>21</v>
      </c>
      <c r="B19" s="95">
        <f>SUM(B3:B18)</f>
        <v>2483.68</v>
      </c>
      <c r="C19" s="7"/>
      <c r="D19" s="7"/>
      <c r="E19" s="7"/>
      <c r="F19" s="7"/>
      <c r="G19" s="7"/>
      <c r="H19" s="7"/>
      <c r="I19" s="162"/>
      <c r="J19" s="191"/>
      <c r="K19" s="192"/>
      <c r="L19" s="191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2"/>
      <c r="J20" s="191"/>
      <c r="K20" s="192"/>
      <c r="L20" s="162"/>
      <c r="M20" s="7"/>
      <c r="N20" s="7"/>
      <c r="O20" s="7"/>
    </row>
    <row r="21">
      <c r="E21" s="70" t="s">
        <v>22</v>
      </c>
      <c r="F21" s="2"/>
      <c r="H21" s="7"/>
      <c r="I21" s="162"/>
      <c r="J21" s="191"/>
      <c r="K21" s="192"/>
      <c r="L21" s="162"/>
      <c r="M21" s="7"/>
      <c r="N21" s="7"/>
    </row>
    <row r="22">
      <c r="E22" s="11" t="s">
        <v>23</v>
      </c>
      <c r="F22" s="2"/>
      <c r="H22" s="7"/>
      <c r="I22" s="162"/>
      <c r="J22" s="191"/>
      <c r="K22" s="192"/>
      <c r="L22" s="191"/>
      <c r="M22" s="7"/>
      <c r="N22" s="7"/>
    </row>
    <row r="23">
      <c r="E23" s="18"/>
      <c r="F23" s="143"/>
      <c r="H23" s="142"/>
      <c r="I23" s="162"/>
      <c r="J23" s="191"/>
      <c r="K23" s="192"/>
      <c r="L23" s="191"/>
      <c r="M23" s="7"/>
      <c r="N23" s="7"/>
    </row>
    <row r="24">
      <c r="E24" s="26"/>
      <c r="F24" s="144"/>
      <c r="H24" s="142"/>
      <c r="I24" s="7"/>
      <c r="J24" s="104"/>
      <c r="K24" s="7"/>
      <c r="L24" s="7"/>
      <c r="M24" s="7"/>
      <c r="N24" s="7"/>
    </row>
    <row r="25">
      <c r="E25" s="32"/>
      <c r="F25" s="145"/>
      <c r="H25" s="142"/>
      <c r="I25" s="7"/>
      <c r="J25" s="7"/>
      <c r="K25" s="7"/>
      <c r="L25" s="7"/>
      <c r="M25" s="7"/>
      <c r="N25" s="7"/>
    </row>
    <row r="26">
      <c r="E26" s="26"/>
      <c r="F26" s="144"/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0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J18:K18"/>
    <mergeCell ref="E21:F21"/>
    <mergeCell ref="E22:F22"/>
    <mergeCell ref="N3:O3"/>
    <mergeCell ref="Q3:R3"/>
    <mergeCell ref="N4:O4"/>
    <mergeCell ref="Q4:R4"/>
    <mergeCell ref="N5:O5"/>
    <mergeCell ref="N6:O6"/>
    <mergeCell ref="N7:O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0.13"/>
    <col customWidth="1" min="3" max="3" width="7.75"/>
    <col customWidth="1" min="4" max="4" width="3.13"/>
    <col customWidth="1" min="5" max="5" width="17.25"/>
    <col customWidth="1" min="6" max="6" width="10.13"/>
    <col customWidth="1" min="7" max="7" width="3.75"/>
    <col customWidth="1" min="8" max="8" width="3.38"/>
    <col customWidth="1" min="9" max="9" width="16.38"/>
    <col customWidth="1" min="10" max="10" width="10.13"/>
    <col customWidth="1" min="11" max="11" width="7.5"/>
    <col customWidth="1" min="12" max="12" width="8.5"/>
    <col customWidth="1" min="13" max="13" width="4.13"/>
    <col customWidth="1" min="14" max="15" width="19.13"/>
    <col customWidth="1" min="16" max="16" width="3.88"/>
    <col customWidth="1" min="17" max="17" width="10.75"/>
    <col customWidth="1" min="18" max="18" width="9.38"/>
  </cols>
  <sheetData>
    <row r="1">
      <c r="A1" s="1" t="s">
        <v>0</v>
      </c>
      <c r="B1" s="2"/>
      <c r="C1" s="3"/>
      <c r="D1" s="4"/>
      <c r="E1" s="5" t="s">
        <v>1</v>
      </c>
      <c r="F1" s="2"/>
      <c r="G1" s="6"/>
      <c r="H1" s="39"/>
      <c r="I1" s="70" t="s">
        <v>109</v>
      </c>
      <c r="J1" s="113"/>
      <c r="K1" s="113"/>
      <c r="L1" s="2"/>
      <c r="M1" s="7"/>
      <c r="N1" s="3"/>
      <c r="O1" s="3"/>
      <c r="P1" s="7"/>
      <c r="Q1" s="7"/>
      <c r="R1" s="7"/>
    </row>
    <row r="2">
      <c r="A2" s="8" t="s">
        <v>3</v>
      </c>
      <c r="B2" s="9"/>
      <c r="C2" s="10" t="s">
        <v>4</v>
      </c>
      <c r="D2" s="4"/>
      <c r="E2" s="8" t="s">
        <v>3</v>
      </c>
      <c r="F2" s="9"/>
      <c r="G2" s="7"/>
      <c r="H2" s="4"/>
      <c r="I2" s="8" t="s">
        <v>3</v>
      </c>
      <c r="J2" s="114"/>
      <c r="K2" s="114"/>
      <c r="L2" s="9"/>
      <c r="M2" s="4"/>
      <c r="N2" s="12" t="s">
        <v>5</v>
      </c>
      <c r="O2" s="9"/>
      <c r="P2" s="7"/>
      <c r="Q2" s="3"/>
      <c r="R2" s="3"/>
    </row>
    <row r="3">
      <c r="A3" s="13" t="s">
        <v>15</v>
      </c>
      <c r="B3" s="115">
        <v>1400.0</v>
      </c>
      <c r="C3" s="15"/>
      <c r="D3" s="4"/>
      <c r="E3" s="194" t="s">
        <v>31</v>
      </c>
      <c r="F3" s="88">
        <v>4500.0</v>
      </c>
      <c r="G3" s="7"/>
      <c r="H3" s="4"/>
      <c r="I3" s="8" t="s">
        <v>111</v>
      </c>
      <c r="J3" s="116" t="s">
        <v>105</v>
      </c>
      <c r="K3" s="150" t="s">
        <v>112</v>
      </c>
      <c r="L3" s="108" t="s">
        <v>113</v>
      </c>
      <c r="M3" s="4"/>
      <c r="N3" s="20" t="s">
        <v>9</v>
      </c>
      <c r="O3" s="9"/>
      <c r="P3" s="4"/>
      <c r="Q3" s="12" t="s">
        <v>10</v>
      </c>
      <c r="R3" s="9"/>
    </row>
    <row r="4">
      <c r="A4" s="21" t="s">
        <v>6</v>
      </c>
      <c r="B4" s="118">
        <v>159.79</v>
      </c>
      <c r="C4" s="23"/>
      <c r="D4" s="4"/>
      <c r="E4" s="195" t="s">
        <v>32</v>
      </c>
      <c r="F4" s="36">
        <v>3136.84</v>
      </c>
      <c r="G4" s="7"/>
      <c r="H4" s="4"/>
      <c r="I4" s="82" t="s">
        <v>187</v>
      </c>
      <c r="J4" s="120">
        <v>543.73</v>
      </c>
      <c r="K4" s="121" t="s">
        <v>322</v>
      </c>
      <c r="L4" s="83" t="s">
        <v>116</v>
      </c>
      <c r="M4" s="4"/>
      <c r="N4" s="28">
        <f>B19</f>
        <v>2483.68</v>
      </c>
      <c r="O4" s="9"/>
      <c r="P4" s="7"/>
      <c r="Q4" s="85">
        <f>N6-N4+N8+N10</f>
        <v>50546.93</v>
      </c>
    </row>
    <row r="5">
      <c r="A5" s="47" t="s">
        <v>129</v>
      </c>
      <c r="B5" s="115">
        <v>400.0</v>
      </c>
      <c r="C5" s="15"/>
      <c r="D5" s="4"/>
      <c r="E5" s="30" t="s">
        <v>40</v>
      </c>
      <c r="F5" s="31">
        <v>4667.18</v>
      </c>
      <c r="G5" s="7"/>
      <c r="H5" s="4"/>
      <c r="I5" s="166" t="s">
        <v>275</v>
      </c>
      <c r="J5" s="133">
        <v>483.89</v>
      </c>
      <c r="K5" s="125" t="s">
        <v>323</v>
      </c>
      <c r="L5" s="92" t="s">
        <v>127</v>
      </c>
      <c r="M5" s="4"/>
      <c r="N5" s="20" t="s">
        <v>1</v>
      </c>
      <c r="O5" s="9"/>
      <c r="P5" s="7"/>
      <c r="Q5" s="7"/>
      <c r="R5" s="7"/>
    </row>
    <row r="6">
      <c r="A6" s="41" t="s">
        <v>148</v>
      </c>
      <c r="B6" s="118">
        <v>40.0</v>
      </c>
      <c r="C6" s="34"/>
      <c r="D6" s="4"/>
      <c r="E6" s="35"/>
      <c r="F6" s="36"/>
      <c r="G6" s="7"/>
      <c r="H6" s="4"/>
      <c r="I6" s="82"/>
      <c r="J6" s="120"/>
      <c r="K6" s="121"/>
      <c r="L6" s="83"/>
      <c r="M6" s="67"/>
      <c r="N6" s="28">
        <f>F18</f>
        <v>12304.02</v>
      </c>
      <c r="O6" s="9"/>
      <c r="P6" s="7"/>
      <c r="Q6" s="7"/>
      <c r="R6" s="7"/>
    </row>
    <row r="7">
      <c r="A7" s="43" t="s">
        <v>317</v>
      </c>
      <c r="B7" s="122">
        <v>0.0</v>
      </c>
      <c r="C7" s="53"/>
      <c r="D7" s="4"/>
      <c r="E7" s="39"/>
      <c r="F7" s="40"/>
      <c r="G7" s="7"/>
      <c r="H7" s="4"/>
      <c r="I7" s="80"/>
      <c r="J7" s="124"/>
      <c r="K7" s="125"/>
      <c r="L7" s="81"/>
      <c r="N7" s="12" t="s">
        <v>16</v>
      </c>
      <c r="O7" s="9"/>
      <c r="P7" s="7"/>
      <c r="Q7" s="7"/>
      <c r="R7" s="7"/>
    </row>
    <row r="8">
      <c r="A8" s="41" t="s">
        <v>318</v>
      </c>
      <c r="B8" s="126">
        <v>483.89</v>
      </c>
      <c r="C8" s="34"/>
      <c r="D8" s="4"/>
      <c r="E8" s="35"/>
      <c r="F8" s="36"/>
      <c r="G8" s="7"/>
      <c r="H8" s="4"/>
      <c r="I8" s="82"/>
      <c r="J8" s="120"/>
      <c r="K8" s="121"/>
      <c r="L8" s="83"/>
      <c r="M8" s="7"/>
      <c r="N8" s="42">
        <f>Abril27!Q4</f>
        <v>40726.59</v>
      </c>
      <c r="P8" s="7"/>
      <c r="Q8" s="7"/>
      <c r="R8" s="7"/>
    </row>
    <row r="9">
      <c r="A9" s="43" t="s">
        <v>319</v>
      </c>
      <c r="B9" s="122">
        <v>0.0</v>
      </c>
      <c r="C9" s="15"/>
      <c r="D9" s="4"/>
      <c r="E9" s="39"/>
      <c r="F9" s="44"/>
      <c r="G9" s="7"/>
      <c r="H9" s="4"/>
      <c r="I9" s="80"/>
      <c r="J9" s="124"/>
      <c r="K9" s="163"/>
      <c r="L9" s="81"/>
      <c r="M9" s="7"/>
      <c r="N9" s="12" t="s">
        <v>19</v>
      </c>
      <c r="O9" s="9"/>
      <c r="P9" s="7"/>
      <c r="Q9" s="7"/>
      <c r="R9" s="7"/>
    </row>
    <row r="10">
      <c r="A10" s="41"/>
      <c r="B10" s="118"/>
      <c r="C10" s="46"/>
      <c r="D10" s="4"/>
      <c r="E10" s="35"/>
      <c r="F10" s="45"/>
      <c r="G10" s="7"/>
      <c r="H10" s="4"/>
      <c r="I10" s="82"/>
      <c r="J10" s="120"/>
      <c r="K10" s="121"/>
      <c r="L10" s="83"/>
      <c r="M10" s="7"/>
      <c r="N10" s="87">
        <v>0.0</v>
      </c>
      <c r="P10" s="7"/>
      <c r="Q10" s="7"/>
      <c r="R10" s="7"/>
    </row>
    <row r="11">
      <c r="A11" s="43"/>
      <c r="B11" s="122"/>
      <c r="C11" s="49"/>
      <c r="D11" s="4"/>
      <c r="E11" s="4"/>
      <c r="F11" s="48"/>
      <c r="G11" s="7"/>
      <c r="H11" s="4"/>
      <c r="I11" s="80"/>
      <c r="J11" s="124"/>
      <c r="K11" s="125"/>
      <c r="L11" s="81"/>
      <c r="M11" s="7"/>
      <c r="N11" s="7"/>
      <c r="O11" s="7"/>
      <c r="P11" s="7"/>
      <c r="Q11" s="7"/>
      <c r="R11" s="7"/>
    </row>
    <row r="12">
      <c r="A12" s="41"/>
      <c r="B12" s="154"/>
      <c r="C12" s="46"/>
      <c r="D12" s="4"/>
      <c r="E12" s="35"/>
      <c r="F12" s="45"/>
      <c r="G12" s="7"/>
      <c r="H12" s="4"/>
      <c r="I12" s="82"/>
      <c r="J12" s="120"/>
      <c r="K12" s="121"/>
      <c r="L12" s="83"/>
      <c r="M12" s="7"/>
      <c r="N12" s="7"/>
      <c r="O12" s="7"/>
      <c r="P12" s="7"/>
      <c r="Q12" s="7"/>
      <c r="R12" s="7"/>
    </row>
    <row r="13">
      <c r="A13" s="13"/>
      <c r="B13" s="48"/>
      <c r="C13" s="53"/>
      <c r="D13" s="4"/>
      <c r="E13" s="4"/>
      <c r="F13" s="48"/>
      <c r="G13" s="7"/>
      <c r="H13" s="4"/>
      <c r="I13" s="80"/>
      <c r="J13" s="124"/>
      <c r="K13" s="125"/>
      <c r="L13" s="153"/>
      <c r="M13" s="7"/>
      <c r="N13" s="7"/>
      <c r="O13" s="7"/>
      <c r="P13" s="7"/>
      <c r="Q13" s="7"/>
      <c r="R13" s="7"/>
    </row>
    <row r="14">
      <c r="A14" s="21"/>
      <c r="B14" s="45"/>
      <c r="C14" s="46"/>
      <c r="D14" s="4"/>
      <c r="E14" s="35"/>
      <c r="F14" s="45"/>
      <c r="G14" s="7"/>
      <c r="H14" s="4"/>
      <c r="I14" s="82"/>
      <c r="J14" s="120"/>
      <c r="K14" s="121"/>
      <c r="L14" s="86"/>
      <c r="M14" s="7"/>
      <c r="N14" s="7"/>
      <c r="O14" s="7"/>
      <c r="P14" s="7"/>
      <c r="Q14" s="7"/>
      <c r="R14" s="7"/>
    </row>
    <row r="15">
      <c r="A15" s="13"/>
      <c r="B15" s="48"/>
      <c r="C15" s="53"/>
      <c r="D15" s="4"/>
      <c r="E15" s="4"/>
      <c r="F15" s="48"/>
      <c r="G15" s="7"/>
      <c r="H15" s="4"/>
      <c r="I15" s="80"/>
      <c r="J15" s="124"/>
      <c r="K15" s="125"/>
      <c r="L15" s="81"/>
      <c r="M15" s="7"/>
      <c r="N15" s="7"/>
      <c r="O15" s="7"/>
      <c r="P15" s="7"/>
      <c r="Q15" s="7"/>
      <c r="R15" s="7"/>
    </row>
    <row r="16">
      <c r="A16" s="21"/>
      <c r="B16" s="45"/>
      <c r="C16" s="46"/>
      <c r="D16" s="4"/>
      <c r="E16" s="35"/>
      <c r="F16" s="45"/>
      <c r="G16" s="7"/>
      <c r="H16" s="4"/>
      <c r="I16" s="82"/>
      <c r="J16" s="120"/>
      <c r="K16" s="121"/>
      <c r="L16" s="86"/>
      <c r="M16" s="7"/>
      <c r="N16" s="7"/>
      <c r="O16" s="7"/>
    </row>
    <row r="17">
      <c r="A17" s="13"/>
      <c r="B17" s="48"/>
      <c r="C17" s="53"/>
      <c r="D17" s="4"/>
      <c r="E17" s="4"/>
      <c r="F17" s="48"/>
      <c r="G17" s="7"/>
      <c r="H17" s="4"/>
      <c r="I17" s="102"/>
      <c r="J17" s="158"/>
      <c r="K17" s="163"/>
      <c r="L17" s="193"/>
      <c r="M17" s="7"/>
      <c r="N17" s="7"/>
      <c r="O17" s="7"/>
    </row>
    <row r="18">
      <c r="A18" s="21"/>
      <c r="B18" s="45"/>
      <c r="C18" s="56"/>
      <c r="D18" s="4"/>
      <c r="E18" s="61" t="s">
        <v>21</v>
      </c>
      <c r="F18" s="62">
        <f>SUM(F3:F17)</f>
        <v>12304.02</v>
      </c>
      <c r="G18" s="7"/>
      <c r="H18" s="7"/>
      <c r="I18" s="63" t="s">
        <v>21</v>
      </c>
      <c r="J18" s="139">
        <f>SUM(J4:J13)</f>
        <v>1027.62</v>
      </c>
      <c r="K18" s="2"/>
      <c r="L18" s="162"/>
      <c r="M18" s="7"/>
      <c r="N18" s="7"/>
      <c r="O18" s="7"/>
    </row>
    <row r="19">
      <c r="A19" s="63" t="s">
        <v>21</v>
      </c>
      <c r="B19" s="95">
        <f>SUM(B3:B18)</f>
        <v>2483.68</v>
      </c>
      <c r="C19" s="7"/>
      <c r="D19" s="7"/>
      <c r="E19" s="7"/>
      <c r="F19" s="7"/>
      <c r="G19" s="7"/>
      <c r="H19" s="7"/>
      <c r="I19" s="162"/>
      <c r="J19" s="191"/>
      <c r="K19" s="192"/>
      <c r="L19" s="191"/>
      <c r="M19" s="7"/>
      <c r="N19" s="7"/>
      <c r="O19" s="7"/>
    </row>
    <row r="20">
      <c r="A20" s="7"/>
      <c r="B20" s="7"/>
      <c r="C20" s="7"/>
      <c r="D20" s="7"/>
      <c r="E20" s="7"/>
      <c r="F20" s="7"/>
      <c r="G20" s="7"/>
      <c r="H20" s="7"/>
      <c r="I20" s="162"/>
      <c r="J20" s="191"/>
      <c r="K20" s="192"/>
      <c r="L20" s="162"/>
      <c r="M20" s="7"/>
      <c r="N20" s="7"/>
      <c r="O20" s="7"/>
    </row>
    <row r="21">
      <c r="E21" s="70" t="s">
        <v>22</v>
      </c>
      <c r="F21" s="2"/>
      <c r="H21" s="7"/>
      <c r="I21" s="162"/>
      <c r="J21" s="191"/>
      <c r="K21" s="192"/>
      <c r="L21" s="162"/>
      <c r="M21" s="7"/>
      <c r="N21" s="7"/>
    </row>
    <row r="22">
      <c r="E22" s="11" t="s">
        <v>23</v>
      </c>
      <c r="F22" s="2"/>
      <c r="H22" s="7"/>
      <c r="I22" s="162"/>
      <c r="J22" s="191"/>
      <c r="K22" s="192"/>
      <c r="L22" s="191"/>
      <c r="M22" s="7"/>
      <c r="N22" s="7"/>
    </row>
    <row r="23">
      <c r="E23" s="18"/>
      <c r="F23" s="143"/>
      <c r="H23" s="142"/>
      <c r="I23" s="162"/>
      <c r="J23" s="191"/>
      <c r="K23" s="192"/>
      <c r="L23" s="191"/>
      <c r="M23" s="7"/>
      <c r="N23" s="7"/>
    </row>
    <row r="24">
      <c r="E24" s="26"/>
      <c r="F24" s="144"/>
      <c r="H24" s="142"/>
      <c r="I24" s="7"/>
      <c r="J24" s="104"/>
      <c r="K24" s="7"/>
      <c r="L24" s="7"/>
      <c r="M24" s="7"/>
      <c r="N24" s="7"/>
    </row>
    <row r="25">
      <c r="E25" s="32"/>
      <c r="F25" s="145"/>
      <c r="H25" s="142"/>
      <c r="I25" s="7"/>
      <c r="J25" s="7"/>
      <c r="K25" s="7"/>
      <c r="L25" s="7"/>
      <c r="M25" s="7"/>
      <c r="N25" s="7"/>
    </row>
    <row r="26">
      <c r="E26" s="26"/>
      <c r="F26" s="144"/>
      <c r="H26" s="142"/>
      <c r="I26" s="7"/>
      <c r="J26" s="7"/>
      <c r="K26" s="7"/>
      <c r="L26" s="7"/>
      <c r="M26" s="7"/>
      <c r="N26" s="7"/>
    </row>
    <row r="27">
      <c r="E27" s="32"/>
      <c r="F27" s="145"/>
      <c r="H27" s="142"/>
      <c r="I27" s="7"/>
      <c r="J27" s="7"/>
      <c r="K27" s="7"/>
      <c r="L27" s="7"/>
      <c r="M27" s="7"/>
      <c r="N27" s="7"/>
    </row>
    <row r="28">
      <c r="E28" s="26"/>
      <c r="F28" s="144"/>
      <c r="H28" s="7"/>
      <c r="I28" s="7"/>
      <c r="J28" s="7"/>
      <c r="K28" s="7"/>
      <c r="L28" s="7"/>
      <c r="M28" s="7"/>
      <c r="N28" s="7"/>
    </row>
    <row r="29">
      <c r="E29" s="32"/>
      <c r="F29" s="145"/>
      <c r="H29" s="7"/>
      <c r="I29" s="7"/>
      <c r="J29" s="7"/>
      <c r="K29" s="7"/>
      <c r="L29" s="7"/>
      <c r="M29" s="7"/>
      <c r="N29" s="7"/>
    </row>
    <row r="30">
      <c r="E30" s="26"/>
      <c r="F30" s="77"/>
      <c r="H30" s="7"/>
      <c r="I30" s="7"/>
      <c r="J30" s="7"/>
      <c r="K30" s="7"/>
      <c r="L30" s="7"/>
      <c r="M30" s="7"/>
      <c r="N30" s="7"/>
    </row>
    <row r="31">
      <c r="E31" s="32"/>
      <c r="F31" s="76"/>
      <c r="H31" s="7"/>
      <c r="I31" s="7"/>
      <c r="J31" s="7"/>
      <c r="K31" s="7"/>
      <c r="L31" s="7"/>
      <c r="M31" s="7"/>
      <c r="N31" s="7"/>
    </row>
    <row r="32">
      <c r="E32" s="26"/>
      <c r="F32" s="26"/>
      <c r="H32" s="7"/>
      <c r="I32" s="7"/>
      <c r="J32" s="7"/>
      <c r="K32" s="7"/>
      <c r="L32" s="7"/>
      <c r="M32" s="7"/>
      <c r="N32" s="7"/>
    </row>
    <row r="33">
      <c r="E33" s="32"/>
      <c r="F33" s="76"/>
      <c r="H33" s="7"/>
      <c r="I33" s="7"/>
      <c r="J33" s="7"/>
      <c r="K33" s="7"/>
      <c r="L33" s="7"/>
      <c r="M33" s="7"/>
      <c r="N33" s="7"/>
    </row>
    <row r="34">
      <c r="E34" s="78" t="s">
        <v>28</v>
      </c>
      <c r="F34" s="79">
        <f>SUM(F23:F33)</f>
        <v>0</v>
      </c>
      <c r="H34" s="7"/>
      <c r="I34" s="7"/>
      <c r="J34" s="7"/>
      <c r="K34" s="7"/>
      <c r="L34" s="7"/>
      <c r="M34" s="7"/>
      <c r="N34" s="7"/>
    </row>
    <row r="35">
      <c r="H35" s="7"/>
      <c r="I35" s="7"/>
      <c r="J35" s="7"/>
      <c r="K35" s="7"/>
      <c r="L35" s="7"/>
      <c r="M35" s="7"/>
      <c r="N35" s="7"/>
    </row>
    <row r="36">
      <c r="H36" s="7"/>
      <c r="I36" s="7"/>
      <c r="J36" s="7"/>
      <c r="K36" s="7"/>
      <c r="L36" s="7"/>
      <c r="M36" s="7"/>
      <c r="N36" s="7"/>
    </row>
    <row r="37">
      <c r="H37" s="7"/>
      <c r="I37" s="7"/>
      <c r="J37" s="7"/>
      <c r="K37" s="7"/>
      <c r="L37" s="7"/>
      <c r="M37" s="7"/>
      <c r="N37" s="7"/>
    </row>
    <row r="38">
      <c r="H38" s="7"/>
      <c r="I38" s="7"/>
      <c r="J38" s="7"/>
      <c r="K38" s="7"/>
      <c r="L38" s="7"/>
      <c r="M38" s="7"/>
      <c r="N38" s="7"/>
    </row>
    <row r="39">
      <c r="H39" s="7"/>
      <c r="I39" s="7"/>
      <c r="J39" s="7"/>
      <c r="K39" s="7"/>
      <c r="L39" s="7"/>
      <c r="M39" s="7"/>
      <c r="N39" s="7"/>
    </row>
    <row r="40">
      <c r="H40" s="7"/>
      <c r="I40" s="7"/>
      <c r="J40" s="7"/>
      <c r="K40" s="7"/>
      <c r="L40" s="7"/>
      <c r="M40" s="7"/>
      <c r="N40" s="7"/>
    </row>
    <row r="41">
      <c r="H41" s="7"/>
      <c r="I41" s="7"/>
      <c r="J41" s="7"/>
      <c r="K41" s="7"/>
      <c r="L41" s="7"/>
      <c r="M41" s="7"/>
      <c r="N41" s="7"/>
    </row>
  </sheetData>
  <mergeCells count="20">
    <mergeCell ref="A1:B1"/>
    <mergeCell ref="E1:F1"/>
    <mergeCell ref="I1:L1"/>
    <mergeCell ref="A2:B2"/>
    <mergeCell ref="E2:F2"/>
    <mergeCell ref="I2:L2"/>
    <mergeCell ref="N2:O2"/>
    <mergeCell ref="N8:O8"/>
    <mergeCell ref="N9:O9"/>
    <mergeCell ref="N10:O10"/>
    <mergeCell ref="J18:K18"/>
    <mergeCell ref="E21:F21"/>
    <mergeCell ref="E22:F22"/>
    <mergeCell ref="N3:O3"/>
    <mergeCell ref="Q3:R3"/>
    <mergeCell ref="N4:O4"/>
    <mergeCell ref="Q4:R4"/>
    <mergeCell ref="N5:O5"/>
    <mergeCell ref="N6:O6"/>
    <mergeCell ref="N7:O7"/>
  </mergeCells>
  <drawing r:id="rId1"/>
</worksheet>
</file>